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hart1" sheetId="2" r:id="rId5"/>
  </sheets>
  <definedNames>
    <definedName name="Products">Sheet1!$F$2:$F$289</definedName>
  </definedNames>
  <calcPr/>
</workbook>
</file>

<file path=xl/sharedStrings.xml><?xml version="1.0" encoding="utf-8"?>
<sst xmlns="http://schemas.openxmlformats.org/spreadsheetml/2006/main" count="871" uniqueCount="33">
  <si>
    <t>Region</t>
  </si>
  <si>
    <t xml:space="preserve">Month </t>
  </si>
  <si>
    <t>Product</t>
  </si>
  <si>
    <t>Sales Forecast</t>
  </si>
  <si>
    <t>Sales - Actual</t>
  </si>
  <si>
    <t xml:space="preserve">Forecast Delta (%) </t>
  </si>
  <si>
    <t>Sales Status</t>
  </si>
  <si>
    <t>AsiaPac</t>
  </si>
  <si>
    <t>April</t>
  </si>
  <si>
    <t>Cinnamon bun</t>
  </si>
  <si>
    <t>August</t>
  </si>
  <si>
    <t>September</t>
  </si>
  <si>
    <t>December</t>
  </si>
  <si>
    <t xml:space="preserve">Cinnamon bun 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</si>
  <si>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</si>
  <si>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</si>
  <si>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</si>
  <si>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</si>
  <si>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</si>
  <si>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</si>
  <si>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</si>
  <si>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</si>
  <si>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 xml:space="preserve">Pastries </t>
  </si>
  <si>
    <t xml:space="preserve">Rye bread </t>
  </si>
  <si>
    <t>EMEA</t>
  </si>
  <si>
    <t>Rye bread</t>
  </si>
  <si>
    <t>North America - Canada</t>
  </si>
  <si>
    <t>North America - Central</t>
  </si>
  <si>
    <t>North America - East</t>
  </si>
  <si>
    <t>North America - Mexico</t>
  </si>
  <si>
    <t>North America - West</t>
  </si>
  <si>
    <t>Pastries</t>
  </si>
  <si>
    <t>South America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</si>
</sst>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1.0"/>
      <color theme="1"/>
      <name val="Calibri"/>
      <scheme val="minor"/>
    </font>
    <font>
      <b/>
      <i/>
      <sz val="11.0"/>
      <color theme="1"/>
      <name val="Calibri"/>
    </font>
    <font>
      <b/>
      <i/>
      <color theme="1"/>
      <name val="Calibri"/>
      <scheme val="minor"/>
    </font>
    <font>
      <sz val="11.0"/>
      <color theme="1"/>
      <name val="Calibri"/>
    </font>
    <font>
      <color rgb="FF0000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164" xfId="0" applyBorder="1" applyFont="1" applyNumberFormat="1"/>
    <xf borderId="0" fillId="2" fontId="4" numFmtId="0" xfId="0" applyFill="1" applyFont="1"/>
    <xf borderId="1" fillId="0" fontId="3" numFmtId="1" xfId="0" applyBorder="1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chartsheet" Target="chart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AsiaPac April Sales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Sheet1!$D$1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Sheet1!$C$2:$C$4</c:f>
            </c:strRef>
          </c:cat>
          <c:val>
            <c:numRef>
              <c:f>Sheet1!$D$2:$D$4</c:f>
              <c:numCache/>
            </c:numRef>
          </c:val>
        </c:ser>
        <c:ser>
          <c:idx val="1"/>
          <c:order val="1"/>
          <c:tx>
            <c:strRef>
              <c:f>Sheet1!$E$1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Sheet1!$C$2:$C$4</c:f>
            </c:strRef>
          </c:cat>
          <c:val>
            <c:numRef>
              <c:f>Sheet1!$E$2:$E$4</c:f>
              <c:numCache/>
            </c:numRef>
          </c:val>
        </c:ser>
        <c:ser>
          <c:idx val="2"/>
          <c:order val="2"/>
          <c:tx>
            <c:strRef>
              <c:f>Sheet1!$F$1</c:f>
            </c:strRef>
          </c:tx>
          <c:cat>
            <c:strRef>
              <c:f>Sheet1!$C$2:$C$4</c:f>
            </c:strRef>
          </c:cat>
          <c:val>
            <c:numRef>
              <c:f>Sheet1!$F$2:$F$4</c:f>
              <c:numCache/>
            </c:numRef>
          </c:val>
        </c:ser>
        <c:axId val="537862555"/>
        <c:axId val="538738112"/>
      </c:barChart>
      <c:catAx>
        <c:axId val="53786255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8738112"/>
      </c:catAx>
      <c:valAx>
        <c:axId val="5387381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786255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tables/table1.xml><?xml version="1.0" encoding="utf-8"?>
<table xmlns="http://schemas.openxmlformats.org/spreadsheetml/2006/main" headerRowCount="0" ref="A1:H289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0.86"/>
    <col customWidth="1" min="3" max="3" width="14.43"/>
    <col customWidth="1" min="4" max="4" width="13.57"/>
    <col customWidth="1" min="5" max="6" width="12.71"/>
    <col customWidth="1" min="7" max="7" width="17.14"/>
    <col customWidth="1" min="8" max="8" width="15.57"/>
    <col customWidth="1" min="9" max="9" width="8.71"/>
    <col customWidth="1" min="10" max="19" width="14.43"/>
    <col customWidth="1" min="20" max="16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2" t="s">
        <v>5</v>
      </c>
      <c r="H1" s="3" t="s">
        <v>6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</row>
    <row r="2">
      <c r="A2" s="5" t="s">
        <v>7</v>
      </c>
      <c r="B2" s="5" t="s">
        <v>8</v>
      </c>
      <c r="C2" s="6" t="s">
        <v>9</v>
      </c>
      <c r="D2" s="5">
        <v>143013.0</v>
      </c>
      <c r="E2" s="5"/>
      <c r="F2" s="5">
        <v>144357.80000000002</v>
      </c>
      <c r="G2" s="7">
        <f>1-(F2/D2)</f>
        <v>-0.009403340955</v>
      </c>
      <c r="H2" s="8" t="str">
        <f t="shared" ref="H2:H289" si="1">IFS(G2="","",G2&gt;0,"Above Forecast",G2&lt;=0,"Below Forecast")</f>
        <v>Below Forecast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</row>
    <row r="3">
      <c r="A3" s="5" t="s">
        <v>7</v>
      </c>
      <c r="B3" s="5" t="s">
        <v>10</v>
      </c>
      <c r="C3" s="6" t="s">
        <v>9</v>
      </c>
      <c r="D3" s="5">
        <v>138413.0</v>
      </c>
      <c r="E3" s="5"/>
      <c r="F3" s="5"/>
      <c r="G3" s="7"/>
      <c r="H3" s="8" t="str">
        <f t="shared" si="1"/>
        <v/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</row>
    <row r="4">
      <c r="A4" s="5" t="s">
        <v>7</v>
      </c>
      <c r="B4" s="5" t="s">
        <v>11</v>
      </c>
      <c r="C4" s="6" t="s">
        <v>9</v>
      </c>
      <c r="D4" s="5">
        <v>145928.0</v>
      </c>
      <c r="E4" s="5"/>
      <c r="F4" s="5"/>
      <c r="G4" s="7"/>
      <c r="H4" s="8" t="str">
        <f t="shared" si="1"/>
        <v/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</row>
    <row r="5">
      <c r="A5" s="5" t="s">
        <v>7</v>
      </c>
      <c r="B5" s="5" t="s">
        <v>12</v>
      </c>
      <c r="C5" s="5" t="s">
        <v>13</v>
      </c>
      <c r="D5" s="5">
        <v>145446.0</v>
      </c>
      <c r="E5" s="5"/>
      <c r="F5" s="5"/>
      <c r="G5" s="7"/>
      <c r="H5" s="8" t="str">
        <f t="shared" si="1"/>
        <v/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</row>
    <row r="6">
      <c r="A6" s="5" t="s">
        <v>7</v>
      </c>
      <c r="B6" s="5" t="s">
        <v>14</v>
      </c>
      <c r="C6" s="5" t="s">
        <v>13</v>
      </c>
      <c r="D6" s="5">
        <v>141175.0</v>
      </c>
      <c r="E6" s="5"/>
      <c r="F6" s="5">
        <v>141251.2</v>
      </c>
      <c r="G6" s="7">
        <f t="shared" ref="G6:G7" si="2">1-(F6/D6)</f>
        <v>-0.0005397556225</v>
      </c>
      <c r="H6" s="8" t="str">
        <f t="shared" si="1"/>
        <v>Below Forecast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</row>
    <row r="7">
      <c r="A7" s="5" t="s">
        <v>7</v>
      </c>
      <c r="B7" s="5" t="s">
        <v>15</v>
      </c>
      <c r="C7" s="5" t="s">
        <v>13</v>
      </c>
      <c r="D7" s="5">
        <v>138495.0</v>
      </c>
      <c r="E7" s="9"/>
      <c r="F7" s="9">
        <v>137059.56</v>
      </c>
      <c r="G7" s="7">
        <f t="shared" si="2"/>
        <v>0.0103645619</v>
      </c>
      <c r="H7" s="8" t="str">
        <f t="shared" si="1"/>
        <v>Above Forecast</v>
      </c>
      <c r="K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</row>
    <row r="8">
      <c r="A8" s="5" t="s">
        <v>7</v>
      </c>
      <c r="B8" s="5" t="s">
        <v>16</v>
      </c>
      <c r="C8" s="5" t="s">
        <v>13</v>
      </c>
      <c r="D8" s="5">
        <v>144675.0</v>
      </c>
      <c r="E8" s="5"/>
      <c r="F8" s="5"/>
      <c r="G8" s="7"/>
      <c r="H8" s="8" t="str">
        <f t="shared" si="1"/>
        <v/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</row>
    <row r="9">
      <c r="A9" s="5" t="s">
        <v>7</v>
      </c>
      <c r="B9" s="5" t="s">
        <v>17</v>
      </c>
      <c r="C9" s="5" t="s">
        <v>13</v>
      </c>
      <c r="D9" s="5">
        <v>145880.0</v>
      </c>
      <c r="E9" s="5"/>
      <c r="F9" s="5">
        <v>141752.2</v>
      </c>
      <c r="G9" s="7">
        <f t="shared" ref="G9:G11" si="3">1-(F9/D9)</f>
        <v>0.02829585961</v>
      </c>
      <c r="H9" s="8" t="str">
        <f t="shared" si="1"/>
        <v>Above Forecast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</row>
    <row r="10">
      <c r="A10" s="5" t="s">
        <v>7</v>
      </c>
      <c r="B10" s="5" t="s">
        <v>18</v>
      </c>
      <c r="C10" s="5" t="s">
        <v>13</v>
      </c>
      <c r="D10" s="5">
        <v>141413.0</v>
      </c>
      <c r="E10" s="5"/>
      <c r="F10" s="5">
        <v>145823.10000000003</v>
      </c>
      <c r="G10" s="7">
        <f t="shared" si="3"/>
        <v>-0.03118595886</v>
      </c>
      <c r="H10" s="8" t="str">
        <f t="shared" si="1"/>
        <v>Below Forecast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</row>
    <row r="11">
      <c r="A11" s="5" t="s">
        <v>7</v>
      </c>
      <c r="B11" s="5" t="s">
        <v>19</v>
      </c>
      <c r="C11" s="5" t="s">
        <v>13</v>
      </c>
      <c r="D11" s="5">
        <v>146411.0</v>
      </c>
      <c r="E11" s="5"/>
      <c r="F11" s="5">
        <v>146992.2</v>
      </c>
      <c r="G11" s="7">
        <f t="shared" si="3"/>
        <v>-0.003969647089</v>
      </c>
      <c r="H11" s="8" t="str">
        <f t="shared" si="1"/>
        <v>Below Forecast</v>
      </c>
      <c r="K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</row>
    <row r="12">
      <c r="A12" s="5" t="s">
        <v>7</v>
      </c>
      <c r="B12" s="5" t="s">
        <v>20</v>
      </c>
      <c r="C12" s="5" t="s">
        <v>13</v>
      </c>
      <c r="D12" s="5">
        <v>140140.0</v>
      </c>
      <c r="E12" s="5"/>
      <c r="F12" s="5"/>
      <c r="G12" s="7"/>
      <c r="H12" s="8" t="str">
        <f t="shared" si="1"/>
        <v/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</row>
    <row r="13">
      <c r="A13" s="5" t="s">
        <v>7</v>
      </c>
      <c r="B13" s="5" t="s">
        <v>21</v>
      </c>
      <c r="C13" s="5" t="s">
        <v>13</v>
      </c>
      <c r="D13" s="5">
        <v>143590.0</v>
      </c>
      <c r="E13" s="5">
        <f>SUM(D2:D13)</f>
        <v>1714579</v>
      </c>
      <c r="F13" s="5"/>
      <c r="G13" s="7"/>
      <c r="H13" s="8" t="str">
        <f t="shared" si="1"/>
        <v/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</row>
    <row r="14">
      <c r="A14" s="5" t="s">
        <v>7</v>
      </c>
      <c r="B14" s="5" t="s">
        <v>8</v>
      </c>
      <c r="C14" s="5" t="s">
        <v>22</v>
      </c>
      <c r="D14" s="5">
        <v>139319.0</v>
      </c>
      <c r="E14" s="5"/>
      <c r="F14" s="5">
        <v>143920.7</v>
      </c>
      <c r="G14" s="7">
        <f>1-(F14/D14)</f>
        <v>-0.03302995284</v>
      </c>
      <c r="H14" s="8" t="str">
        <f t="shared" si="1"/>
        <v>Below Forecast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</row>
    <row r="15">
      <c r="A15" s="5" t="s">
        <v>7</v>
      </c>
      <c r="B15" s="5" t="s">
        <v>10</v>
      </c>
      <c r="C15" s="5" t="s">
        <v>22</v>
      </c>
      <c r="D15" s="5">
        <v>139990.0</v>
      </c>
      <c r="E15" s="5"/>
      <c r="F15" s="5"/>
      <c r="G15" s="7"/>
      <c r="H15" s="8" t="str">
        <f t="shared" si="1"/>
        <v/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</row>
    <row r="16">
      <c r="A16" s="5" t="s">
        <v>7</v>
      </c>
      <c r="B16" s="5" t="s">
        <v>12</v>
      </c>
      <c r="C16" s="5" t="s">
        <v>22</v>
      </c>
      <c r="D16" s="5">
        <v>146589.0</v>
      </c>
      <c r="E16" s="5"/>
      <c r="F16" s="5"/>
      <c r="G16" s="7"/>
      <c r="H16" s="8" t="str">
        <f t="shared" si="1"/>
        <v/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</row>
    <row r="17">
      <c r="A17" s="5" t="s">
        <v>7</v>
      </c>
      <c r="B17" s="5" t="s">
        <v>14</v>
      </c>
      <c r="C17" s="5" t="s">
        <v>22</v>
      </c>
      <c r="D17" s="5">
        <v>144355.0</v>
      </c>
      <c r="E17" s="5"/>
      <c r="F17" s="5">
        <v>143149.39999999997</v>
      </c>
      <c r="G17" s="7">
        <f t="shared" ref="G17:G18" si="4">1-(F17/D17)</f>
        <v>0.008351633127</v>
      </c>
      <c r="H17" s="8" t="str">
        <f t="shared" si="1"/>
        <v>Above Forecast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</row>
    <row r="18">
      <c r="A18" s="5" t="s">
        <v>7</v>
      </c>
      <c r="B18" s="5" t="s">
        <v>15</v>
      </c>
      <c r="C18" s="5" t="s">
        <v>22</v>
      </c>
      <c r="D18" s="5">
        <v>148307.0</v>
      </c>
      <c r="E18" s="5"/>
      <c r="F18" s="5">
        <v>140143.0</v>
      </c>
      <c r="G18" s="7">
        <f t="shared" si="4"/>
        <v>0.05504797481</v>
      </c>
      <c r="H18" s="8" t="str">
        <f t="shared" si="1"/>
        <v>Above Forecast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</row>
    <row r="19">
      <c r="A19" s="5" t="s">
        <v>7</v>
      </c>
      <c r="B19" s="5" t="s">
        <v>16</v>
      </c>
      <c r="C19" s="5" t="s">
        <v>22</v>
      </c>
      <c r="D19" s="5">
        <v>141808.0</v>
      </c>
      <c r="E19" s="5"/>
      <c r="F19" s="5"/>
      <c r="G19" s="7"/>
      <c r="H19" s="8" t="str">
        <f t="shared" si="1"/>
        <v/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</row>
    <row r="20">
      <c r="A20" s="5" t="s">
        <v>7</v>
      </c>
      <c r="B20" s="5" t="s">
        <v>17</v>
      </c>
      <c r="C20" s="5" t="s">
        <v>22</v>
      </c>
      <c r="D20" s="5">
        <v>143246.0</v>
      </c>
      <c r="E20" s="5"/>
      <c r="F20" s="5">
        <v>149107.7</v>
      </c>
      <c r="G20" s="7">
        <f t="shared" ref="G20:G22" si="5">1-(F20/D20)</f>
        <v>-0.04092051436</v>
      </c>
      <c r="H20" s="8" t="str">
        <f t="shared" si="1"/>
        <v>Below Forecast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</row>
    <row r="21" ht="15.75" customHeight="1">
      <c r="A21" s="5" t="s">
        <v>7</v>
      </c>
      <c r="B21" s="5" t="s">
        <v>18</v>
      </c>
      <c r="C21" s="5" t="s">
        <v>22</v>
      </c>
      <c r="D21" s="5">
        <v>143021.0</v>
      </c>
      <c r="E21" s="5"/>
      <c r="F21" s="5">
        <v>141961.80000000002</v>
      </c>
      <c r="G21" s="7">
        <f t="shared" si="5"/>
        <v>0.007405905426</v>
      </c>
      <c r="H21" s="8" t="str">
        <f t="shared" si="1"/>
        <v>Above Forecast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</row>
    <row r="22" ht="15.75" customHeight="1">
      <c r="A22" s="5" t="s">
        <v>7</v>
      </c>
      <c r="B22" s="5" t="s">
        <v>19</v>
      </c>
      <c r="C22" s="5" t="s">
        <v>22</v>
      </c>
      <c r="D22" s="5">
        <v>143102.0</v>
      </c>
      <c r="E22" s="5"/>
      <c r="F22" s="5">
        <v>141527.1</v>
      </c>
      <c r="G22" s="7">
        <f t="shared" si="5"/>
        <v>0.01100543668</v>
      </c>
      <c r="H22" s="8" t="str">
        <f t="shared" si="1"/>
        <v>Above Forecast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</row>
    <row r="23" ht="15.75" customHeight="1">
      <c r="A23" s="5" t="s">
        <v>7</v>
      </c>
      <c r="B23" s="5" t="s">
        <v>20</v>
      </c>
      <c r="C23" s="5" t="s">
        <v>22</v>
      </c>
      <c r="D23" s="5">
        <v>143974.0</v>
      </c>
      <c r="E23" s="5"/>
      <c r="F23" s="5"/>
      <c r="G23" s="7"/>
      <c r="H23" s="8" t="str">
        <f t="shared" si="1"/>
        <v/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</row>
    <row r="24" ht="15.75" customHeight="1">
      <c r="A24" s="5" t="s">
        <v>7</v>
      </c>
      <c r="B24" s="5" t="s">
        <v>21</v>
      </c>
      <c r="C24" s="5" t="s">
        <v>22</v>
      </c>
      <c r="D24" s="5">
        <v>139921.0</v>
      </c>
      <c r="E24" s="5"/>
      <c r="F24" s="5"/>
      <c r="G24" s="7"/>
      <c r="H24" s="8" t="str">
        <f t="shared" si="1"/>
        <v/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</row>
    <row r="25" ht="15.75" customHeight="1">
      <c r="A25" s="5" t="s">
        <v>7</v>
      </c>
      <c r="B25" s="5" t="s">
        <v>11</v>
      </c>
      <c r="C25" s="5" t="s">
        <v>22</v>
      </c>
      <c r="D25" s="5">
        <v>146464.0</v>
      </c>
      <c r="E25" s="5">
        <f>SUM(D14:D25)</f>
        <v>1720096</v>
      </c>
      <c r="F25" s="5"/>
      <c r="G25" s="7"/>
      <c r="H25" s="8" t="str">
        <f t="shared" si="1"/>
        <v/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</row>
    <row r="26" ht="15.75" customHeight="1">
      <c r="A26" s="5" t="s">
        <v>7</v>
      </c>
      <c r="B26" s="5" t="s">
        <v>8</v>
      </c>
      <c r="C26" s="5" t="s">
        <v>23</v>
      </c>
      <c r="D26" s="5">
        <v>140847.0</v>
      </c>
      <c r="E26" s="5"/>
      <c r="F26" s="5">
        <v>145652.3</v>
      </c>
      <c r="G26" s="7">
        <f>1-(F26/D26)</f>
        <v>-0.03411716259</v>
      </c>
      <c r="H26" s="8" t="str">
        <f t="shared" si="1"/>
        <v>Below Forecast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</row>
    <row r="27" ht="15.75" customHeight="1">
      <c r="A27" s="5" t="s">
        <v>7</v>
      </c>
      <c r="B27" s="5" t="s">
        <v>10</v>
      </c>
      <c r="C27" s="5" t="s">
        <v>23</v>
      </c>
      <c r="D27" s="5">
        <v>139684.0</v>
      </c>
      <c r="E27" s="5"/>
      <c r="F27" s="5"/>
      <c r="G27" s="7"/>
      <c r="H27" s="8" t="str">
        <f t="shared" si="1"/>
        <v/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</row>
    <row r="28" ht="15.75" customHeight="1">
      <c r="A28" s="5" t="s">
        <v>7</v>
      </c>
      <c r="B28" s="5" t="s">
        <v>12</v>
      </c>
      <c r="C28" s="5" t="s">
        <v>23</v>
      </c>
      <c r="D28" s="5">
        <v>142729.0</v>
      </c>
      <c r="E28" s="5"/>
      <c r="F28" s="5"/>
      <c r="G28" s="7"/>
      <c r="H28" s="8" t="str">
        <f t="shared" si="1"/>
        <v/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</row>
    <row r="29" ht="15.75" customHeight="1">
      <c r="A29" s="5" t="s">
        <v>7</v>
      </c>
      <c r="B29" s="5" t="s">
        <v>14</v>
      </c>
      <c r="C29" s="5" t="s">
        <v>23</v>
      </c>
      <c r="D29" s="5">
        <v>141984.0</v>
      </c>
      <c r="E29" s="5"/>
      <c r="F29" s="5">
        <v>143801.5</v>
      </c>
      <c r="G29" s="7">
        <f t="shared" ref="G29:G30" si="6">1-(F29/D29)</f>
        <v>-0.01280073811</v>
      </c>
      <c r="H29" s="8" t="str">
        <f t="shared" si="1"/>
        <v>Below Forecast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</row>
    <row r="30" ht="15.75" customHeight="1">
      <c r="A30" s="5" t="s">
        <v>7</v>
      </c>
      <c r="B30" s="5" t="s">
        <v>15</v>
      </c>
      <c r="C30" s="5" t="s">
        <v>23</v>
      </c>
      <c r="D30" s="5">
        <v>146234.0</v>
      </c>
      <c r="E30" s="5"/>
      <c r="F30" s="5">
        <v>143013.3</v>
      </c>
      <c r="G30" s="7">
        <f t="shared" si="6"/>
        <v>0.02202428984</v>
      </c>
      <c r="H30" s="8" t="str">
        <f t="shared" si="1"/>
        <v>Above Forecast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</row>
    <row r="31" ht="15.75" customHeight="1">
      <c r="A31" s="5" t="s">
        <v>7</v>
      </c>
      <c r="B31" s="5" t="s">
        <v>16</v>
      </c>
      <c r="C31" s="5" t="s">
        <v>23</v>
      </c>
      <c r="D31" s="5">
        <v>148260.0</v>
      </c>
      <c r="E31" s="5"/>
      <c r="F31" s="5"/>
      <c r="G31" s="7"/>
      <c r="H31" s="8" t="str">
        <f t="shared" si="1"/>
        <v/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</row>
    <row r="32" ht="15.75" customHeight="1">
      <c r="A32" s="5" t="s">
        <v>7</v>
      </c>
      <c r="B32" s="5" t="s">
        <v>17</v>
      </c>
      <c r="C32" s="5" t="s">
        <v>23</v>
      </c>
      <c r="D32" s="5">
        <v>142237.0</v>
      </c>
      <c r="E32" s="5"/>
      <c r="F32" s="5">
        <v>146777.3</v>
      </c>
      <c r="G32" s="7">
        <f t="shared" ref="G32:G34" si="7">1-(F32/D32)</f>
        <v>-0.03192066762</v>
      </c>
      <c r="H32" s="8" t="str">
        <f t="shared" si="1"/>
        <v>Below Forecast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</row>
    <row r="33" ht="15.75" customHeight="1">
      <c r="A33" s="5" t="s">
        <v>7</v>
      </c>
      <c r="B33" s="5" t="s">
        <v>18</v>
      </c>
      <c r="C33" s="5" t="s">
        <v>23</v>
      </c>
      <c r="D33" s="5">
        <v>144759.0</v>
      </c>
      <c r="E33" s="5"/>
      <c r="F33" s="5">
        <v>147673.2</v>
      </c>
      <c r="G33" s="7">
        <f t="shared" si="7"/>
        <v>-0.02013139079</v>
      </c>
      <c r="H33" s="8" t="str">
        <f t="shared" si="1"/>
        <v>Below Forecast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</row>
    <row r="34" ht="15.75" customHeight="1">
      <c r="A34" s="5" t="s">
        <v>7</v>
      </c>
      <c r="B34" s="5" t="s">
        <v>19</v>
      </c>
      <c r="C34" s="5" t="s">
        <v>23</v>
      </c>
      <c r="D34" s="5">
        <v>146606.0</v>
      </c>
      <c r="E34" s="5"/>
      <c r="F34" s="5">
        <v>145277.4</v>
      </c>
      <c r="G34" s="7">
        <f t="shared" si="7"/>
        <v>0.009062384896</v>
      </c>
      <c r="H34" s="8" t="str">
        <f t="shared" si="1"/>
        <v>Above Forecast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</row>
    <row r="35" ht="15.75" customHeight="1">
      <c r="A35" s="5" t="s">
        <v>7</v>
      </c>
      <c r="B35" s="5" t="s">
        <v>20</v>
      </c>
      <c r="C35" s="5" t="s">
        <v>23</v>
      </c>
      <c r="D35" s="5">
        <v>148416.0</v>
      </c>
      <c r="E35" s="5"/>
      <c r="F35" s="5"/>
      <c r="G35" s="7"/>
      <c r="H35" s="8" t="str">
        <f t="shared" si="1"/>
        <v/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</row>
    <row r="36" ht="15.75" customHeight="1">
      <c r="A36" s="5" t="s">
        <v>7</v>
      </c>
      <c r="B36" s="5" t="s">
        <v>21</v>
      </c>
      <c r="C36" s="5" t="s">
        <v>23</v>
      </c>
      <c r="D36" s="5">
        <v>142099.0</v>
      </c>
      <c r="E36" s="5"/>
      <c r="F36" s="5"/>
      <c r="G36" s="7"/>
      <c r="H36" s="8" t="str">
        <f t="shared" si="1"/>
        <v/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</row>
    <row r="37" ht="15.75" customHeight="1">
      <c r="A37" s="5" t="s">
        <v>7</v>
      </c>
      <c r="B37" s="5" t="s">
        <v>11</v>
      </c>
      <c r="C37" s="5" t="s">
        <v>23</v>
      </c>
      <c r="D37" s="5">
        <v>147954.0</v>
      </c>
      <c r="E37" s="5">
        <f>SUM(D26:D37)</f>
        <v>1731809</v>
      </c>
      <c r="F37" s="5"/>
      <c r="G37" s="7"/>
      <c r="H37" s="8" t="str">
        <f t="shared" si="1"/>
        <v/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</row>
    <row r="38" ht="15.75" customHeight="1">
      <c r="A38" s="5" t="s">
        <v>24</v>
      </c>
      <c r="B38" s="5" t="s">
        <v>8</v>
      </c>
      <c r="C38" s="5" t="s">
        <v>13</v>
      </c>
      <c r="D38" s="5">
        <v>179016.0</v>
      </c>
      <c r="E38" s="5"/>
      <c r="F38" s="5">
        <v>182065.9</v>
      </c>
      <c r="G38" s="7">
        <f>1-(F38/D38)</f>
        <v>-0.01703702462</v>
      </c>
      <c r="H38" s="8" t="str">
        <f t="shared" si="1"/>
        <v>Below Forecast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</row>
    <row r="39" ht="15.75" customHeight="1">
      <c r="A39" s="5" t="s">
        <v>24</v>
      </c>
      <c r="B39" s="5" t="s">
        <v>10</v>
      </c>
      <c r="C39" s="5" t="s">
        <v>13</v>
      </c>
      <c r="D39" s="5">
        <v>187488.0</v>
      </c>
      <c r="E39" s="5"/>
      <c r="F39" s="5"/>
      <c r="G39" s="7"/>
      <c r="H39" s="8" t="str">
        <f t="shared" si="1"/>
        <v/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</row>
    <row r="40" ht="15.75" customHeight="1">
      <c r="A40" s="5" t="s">
        <v>24</v>
      </c>
      <c r="B40" s="5" t="s">
        <v>12</v>
      </c>
      <c r="C40" s="5" t="s">
        <v>13</v>
      </c>
      <c r="D40" s="5">
        <v>184383.0</v>
      </c>
      <c r="E40" s="5"/>
      <c r="F40" s="5"/>
      <c r="G40" s="7"/>
      <c r="H40" s="8" t="str">
        <f t="shared" si="1"/>
        <v/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</row>
    <row r="41" ht="15.75" customHeight="1">
      <c r="A41" s="5" t="s">
        <v>24</v>
      </c>
      <c r="B41" s="5" t="s">
        <v>14</v>
      </c>
      <c r="C41" s="5" t="s">
        <v>13</v>
      </c>
      <c r="D41" s="5">
        <v>183920.0</v>
      </c>
      <c r="E41" s="5"/>
      <c r="F41" s="5">
        <v>180215.69999999998</v>
      </c>
      <c r="G41" s="7">
        <f t="shared" ref="G41:G42" si="8">1-(F41/D41)</f>
        <v>0.0201408221</v>
      </c>
      <c r="H41" s="8" t="str">
        <f t="shared" si="1"/>
        <v>Above Forecast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</row>
    <row r="42" ht="15.75" customHeight="1">
      <c r="A42" s="5" t="s">
        <v>24</v>
      </c>
      <c r="B42" s="5" t="s">
        <v>15</v>
      </c>
      <c r="C42" s="5" t="s">
        <v>13</v>
      </c>
      <c r="D42" s="5">
        <v>181793.0</v>
      </c>
      <c r="E42" s="5"/>
      <c r="F42" s="5">
        <v>182161.1</v>
      </c>
      <c r="G42" s="7">
        <f t="shared" si="8"/>
        <v>-0.002024830439</v>
      </c>
      <c r="H42" s="8" t="str">
        <f t="shared" si="1"/>
        <v>Below Forecast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</row>
    <row r="43" ht="15.75" customHeight="1">
      <c r="A43" s="5" t="s">
        <v>24</v>
      </c>
      <c r="B43" s="5" t="s">
        <v>16</v>
      </c>
      <c r="C43" s="5" t="s">
        <v>13</v>
      </c>
      <c r="D43" s="5">
        <v>175329.0</v>
      </c>
      <c r="E43" s="5"/>
      <c r="F43" s="5"/>
      <c r="G43" s="7"/>
      <c r="H43" s="8" t="str">
        <f t="shared" si="1"/>
        <v/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</row>
    <row r="44" ht="15.75" customHeight="1">
      <c r="A44" s="5" t="s">
        <v>24</v>
      </c>
      <c r="B44" s="5" t="s">
        <v>17</v>
      </c>
      <c r="C44" s="5" t="s">
        <v>13</v>
      </c>
      <c r="D44" s="5">
        <v>177638.0</v>
      </c>
      <c r="E44" s="5"/>
      <c r="F44" s="5">
        <v>180573.30000000002</v>
      </c>
      <c r="G44" s="7">
        <f t="shared" ref="G44:G46" si="9">1-(F44/D44)</f>
        <v>-0.01652405454</v>
      </c>
      <c r="H44" s="8" t="str">
        <f t="shared" si="1"/>
        <v>Below Forecast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</row>
    <row r="45" ht="15.75" customHeight="1">
      <c r="A45" s="5" t="s">
        <v>24</v>
      </c>
      <c r="B45" s="5" t="s">
        <v>18</v>
      </c>
      <c r="C45" s="5" t="s">
        <v>13</v>
      </c>
      <c r="D45" s="5">
        <v>176914.0</v>
      </c>
      <c r="E45" s="5"/>
      <c r="F45" s="5">
        <v>178576.09999999998</v>
      </c>
      <c r="G45" s="7">
        <f t="shared" si="9"/>
        <v>-0.009394960263</v>
      </c>
      <c r="H45" s="8" t="str">
        <f t="shared" si="1"/>
        <v>Below Forecast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</row>
    <row r="46" ht="15.75" customHeight="1">
      <c r="A46" s="5" t="s">
        <v>24</v>
      </c>
      <c r="B46" s="5" t="s">
        <v>19</v>
      </c>
      <c r="C46" s="5" t="s">
        <v>13</v>
      </c>
      <c r="D46" s="5">
        <v>184098.0</v>
      </c>
      <c r="E46" s="5"/>
      <c r="F46" s="5">
        <v>178762.1</v>
      </c>
      <c r="G46" s="7">
        <f t="shared" si="9"/>
        <v>0.02898401938</v>
      </c>
      <c r="H46" s="8" t="str">
        <f t="shared" si="1"/>
        <v>Above Forecast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</row>
    <row r="47" ht="15.75" customHeight="1">
      <c r="A47" s="5" t="s">
        <v>24</v>
      </c>
      <c r="B47" s="5" t="s">
        <v>20</v>
      </c>
      <c r="C47" s="5" t="s">
        <v>13</v>
      </c>
      <c r="D47" s="5">
        <v>182292.0</v>
      </c>
      <c r="E47" s="5"/>
      <c r="F47" s="5"/>
      <c r="G47" s="7"/>
      <c r="H47" s="8" t="str">
        <f t="shared" si="1"/>
        <v/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</row>
    <row r="48" ht="15.75" customHeight="1">
      <c r="A48" s="5" t="s">
        <v>24</v>
      </c>
      <c r="B48" s="5" t="s">
        <v>21</v>
      </c>
      <c r="C48" s="5" t="s">
        <v>13</v>
      </c>
      <c r="D48" s="5">
        <v>186763.0</v>
      </c>
      <c r="E48" s="5"/>
      <c r="F48" s="5"/>
      <c r="G48" s="7"/>
      <c r="H48" s="8" t="str">
        <f t="shared" si="1"/>
        <v/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</row>
    <row r="49" ht="15.75" customHeight="1">
      <c r="A49" s="5" t="s">
        <v>24</v>
      </c>
      <c r="B49" s="5" t="s">
        <v>11</v>
      </c>
      <c r="C49" s="5" t="s">
        <v>13</v>
      </c>
      <c r="D49" s="5">
        <v>178985.0</v>
      </c>
      <c r="E49" s="5">
        <f>SUM(D38:D49)</f>
        <v>2178619</v>
      </c>
      <c r="F49" s="5"/>
      <c r="G49" s="7"/>
      <c r="H49" s="8" t="str">
        <f t="shared" si="1"/>
        <v/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</row>
    <row r="50" ht="15.75" customHeight="1">
      <c r="A50" s="5" t="s">
        <v>24</v>
      </c>
      <c r="B50" s="5" t="s">
        <v>8</v>
      </c>
      <c r="C50" s="5" t="s">
        <v>22</v>
      </c>
      <c r="D50" s="5">
        <v>175563.0</v>
      </c>
      <c r="E50" s="5"/>
      <c r="F50" s="5">
        <v>179703.99999999997</v>
      </c>
      <c r="G50" s="7">
        <f>1-(F50/D50)</f>
        <v>-0.02358697448</v>
      </c>
      <c r="H50" s="8" t="str">
        <f t="shared" si="1"/>
        <v>Below Forecast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</row>
    <row r="51" ht="15.75" customHeight="1">
      <c r="A51" s="5" t="s">
        <v>24</v>
      </c>
      <c r="B51" s="5" t="s">
        <v>10</v>
      </c>
      <c r="C51" s="5" t="s">
        <v>22</v>
      </c>
      <c r="D51" s="5">
        <v>182980.0</v>
      </c>
      <c r="E51" s="5"/>
      <c r="F51" s="5"/>
      <c r="G51" s="7"/>
      <c r="H51" s="8" t="str">
        <f t="shared" si="1"/>
        <v/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</row>
    <row r="52" ht="15.75" customHeight="1">
      <c r="A52" s="5" t="s">
        <v>24</v>
      </c>
      <c r="B52" s="5" t="s">
        <v>12</v>
      </c>
      <c r="C52" s="5" t="s">
        <v>22</v>
      </c>
      <c r="D52" s="5">
        <v>184553.0</v>
      </c>
      <c r="E52" s="5"/>
      <c r="F52" s="5"/>
      <c r="G52" s="7"/>
      <c r="H52" s="8" t="str">
        <f t="shared" si="1"/>
        <v/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</row>
    <row r="53" ht="15.75" customHeight="1">
      <c r="A53" s="5" t="s">
        <v>24</v>
      </c>
      <c r="B53" s="5" t="s">
        <v>14</v>
      </c>
      <c r="C53" s="5" t="s">
        <v>22</v>
      </c>
      <c r="D53" s="5">
        <v>177003.0</v>
      </c>
      <c r="E53" s="5"/>
      <c r="F53" s="5">
        <v>183759.6</v>
      </c>
      <c r="G53" s="7">
        <f t="shared" ref="G53:G54" si="10">1-(F53/D53)</f>
        <v>-0.03817223437</v>
      </c>
      <c r="H53" s="8" t="str">
        <f t="shared" si="1"/>
        <v>Below Forecast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</row>
    <row r="54" ht="15.75" customHeight="1">
      <c r="A54" s="5" t="s">
        <v>24</v>
      </c>
      <c r="B54" s="5" t="s">
        <v>15</v>
      </c>
      <c r="C54" s="5" t="s">
        <v>22</v>
      </c>
      <c r="D54" s="5">
        <v>181875.0</v>
      </c>
      <c r="E54" s="5"/>
      <c r="F54" s="5">
        <v>181190.1</v>
      </c>
      <c r="G54" s="7">
        <f t="shared" si="10"/>
        <v>0.003765773196</v>
      </c>
      <c r="H54" s="8" t="str">
        <f t="shared" si="1"/>
        <v>Above Forecast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</row>
    <row r="55" ht="15.75" customHeight="1">
      <c r="A55" s="5" t="s">
        <v>24</v>
      </c>
      <c r="B55" s="5" t="s">
        <v>16</v>
      </c>
      <c r="C55" s="5" t="s">
        <v>22</v>
      </c>
      <c r="D55" s="5">
        <v>175857.0</v>
      </c>
      <c r="E55" s="5"/>
      <c r="F55" s="5"/>
      <c r="G55" s="7"/>
      <c r="H55" s="8" t="str">
        <f t="shared" si="1"/>
        <v/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</row>
    <row r="56" ht="15.75" customHeight="1">
      <c r="A56" s="5" t="s">
        <v>24</v>
      </c>
      <c r="B56" s="5" t="s">
        <v>17</v>
      </c>
      <c r="C56" s="5" t="s">
        <v>22</v>
      </c>
      <c r="D56" s="5">
        <v>183566.0</v>
      </c>
      <c r="E56" s="5"/>
      <c r="F56" s="5">
        <v>180633.50000000003</v>
      </c>
      <c r="G56" s="7">
        <f t="shared" ref="G56:G58" si="11">1-(F56/D56)</f>
        <v>0.01597518059</v>
      </c>
      <c r="H56" s="8" t="str">
        <f t="shared" si="1"/>
        <v>Above Forecast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</row>
    <row r="57" ht="15.75" customHeight="1">
      <c r="A57" s="5" t="s">
        <v>24</v>
      </c>
      <c r="B57" s="5" t="s">
        <v>18</v>
      </c>
      <c r="C57" s="5" t="s">
        <v>22</v>
      </c>
      <c r="D57" s="5">
        <v>180454.0</v>
      </c>
      <c r="E57" s="5"/>
      <c r="F57" s="5">
        <v>178713.2</v>
      </c>
      <c r="G57" s="7">
        <f t="shared" si="11"/>
        <v>0.009646779789</v>
      </c>
      <c r="H57" s="8" t="str">
        <f t="shared" si="1"/>
        <v>Above Forecast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</row>
    <row r="58" ht="15.75" customHeight="1">
      <c r="A58" s="5" t="s">
        <v>24</v>
      </c>
      <c r="B58" s="5" t="s">
        <v>19</v>
      </c>
      <c r="C58" s="5" t="s">
        <v>22</v>
      </c>
      <c r="D58" s="5">
        <v>178753.0</v>
      </c>
      <c r="E58" s="5"/>
      <c r="F58" s="5">
        <v>185225.3</v>
      </c>
      <c r="G58" s="7">
        <f t="shared" si="11"/>
        <v>-0.03620806364</v>
      </c>
      <c r="H58" s="8" t="str">
        <f t="shared" si="1"/>
        <v>Below Forecast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</row>
    <row r="59" ht="15.75" customHeight="1">
      <c r="A59" s="5" t="s">
        <v>24</v>
      </c>
      <c r="B59" s="5" t="s">
        <v>20</v>
      </c>
      <c r="C59" s="5" t="s">
        <v>22</v>
      </c>
      <c r="D59" s="5">
        <v>176344.0</v>
      </c>
      <c r="E59" s="5"/>
      <c r="F59" s="5"/>
      <c r="G59" s="7"/>
      <c r="H59" s="8" t="str">
        <f t="shared" si="1"/>
        <v/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</row>
    <row r="60" ht="15.75" customHeight="1">
      <c r="A60" s="5" t="s">
        <v>24</v>
      </c>
      <c r="B60" s="5" t="s">
        <v>21</v>
      </c>
      <c r="C60" s="5" t="s">
        <v>22</v>
      </c>
      <c r="D60" s="5">
        <v>180204.0</v>
      </c>
      <c r="E60" s="5"/>
      <c r="F60" s="5"/>
      <c r="G60" s="7"/>
      <c r="H60" s="8" t="str">
        <f t="shared" si="1"/>
        <v/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</row>
    <row r="61" ht="15.75" customHeight="1">
      <c r="A61" s="5" t="s">
        <v>24</v>
      </c>
      <c r="B61" s="5" t="s">
        <v>11</v>
      </c>
      <c r="C61" s="5" t="s">
        <v>22</v>
      </c>
      <c r="D61" s="5">
        <v>178617.0</v>
      </c>
      <c r="E61" s="5">
        <f>SUM(D50:D61)</f>
        <v>2155769</v>
      </c>
      <c r="F61" s="5"/>
      <c r="G61" s="7"/>
      <c r="H61" s="8" t="str">
        <f t="shared" si="1"/>
        <v/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</row>
    <row r="62" ht="15.75" customHeight="1">
      <c r="A62" s="5" t="s">
        <v>24</v>
      </c>
      <c r="B62" s="5" t="s">
        <v>16</v>
      </c>
      <c r="C62" s="6" t="s">
        <v>25</v>
      </c>
      <c r="D62" s="5">
        <v>180795.0</v>
      </c>
      <c r="E62" s="5"/>
      <c r="F62" s="5"/>
      <c r="G62" s="7"/>
      <c r="H62" s="8" t="str">
        <f t="shared" si="1"/>
        <v/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</row>
    <row r="63" ht="15.75" customHeight="1">
      <c r="A63" s="5" t="s">
        <v>24</v>
      </c>
      <c r="B63" s="5" t="s">
        <v>8</v>
      </c>
      <c r="C63" s="5" t="s">
        <v>23</v>
      </c>
      <c r="D63" s="5">
        <v>174040.0</v>
      </c>
      <c r="E63" s="5"/>
      <c r="F63" s="5">
        <v>179254.30000000002</v>
      </c>
      <c r="G63" s="7">
        <f>1-(F63/D63)</f>
        <v>-0.02996035394</v>
      </c>
      <c r="H63" s="8" t="str">
        <f t="shared" si="1"/>
        <v>Below Forecast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</row>
    <row r="64" ht="15.75" customHeight="1">
      <c r="A64" s="5" t="s">
        <v>24</v>
      </c>
      <c r="B64" s="5" t="s">
        <v>10</v>
      </c>
      <c r="C64" s="5" t="s">
        <v>23</v>
      </c>
      <c r="D64" s="5">
        <v>177917.0</v>
      </c>
      <c r="E64" s="5"/>
      <c r="F64" s="5"/>
      <c r="G64" s="7"/>
      <c r="H64" s="8" t="str">
        <f t="shared" si="1"/>
        <v/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</row>
    <row r="65" ht="15.75" customHeight="1">
      <c r="A65" s="5" t="s">
        <v>24</v>
      </c>
      <c r="B65" s="5" t="s">
        <v>12</v>
      </c>
      <c r="C65" s="5" t="s">
        <v>23</v>
      </c>
      <c r="D65" s="5">
        <v>174574.0</v>
      </c>
      <c r="E65" s="5"/>
      <c r="F65" s="5"/>
      <c r="G65" s="7"/>
      <c r="H65" s="8" t="str">
        <f t="shared" si="1"/>
        <v/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</row>
    <row r="66" ht="15.75" customHeight="1">
      <c r="A66" s="5" t="s">
        <v>24</v>
      </c>
      <c r="B66" s="5" t="s">
        <v>14</v>
      </c>
      <c r="C66" s="5" t="s">
        <v>23</v>
      </c>
      <c r="D66" s="5">
        <v>187154.0</v>
      </c>
      <c r="E66" s="5"/>
      <c r="F66" s="5">
        <v>176221.19999999998</v>
      </c>
      <c r="G66" s="7">
        <f t="shared" ref="G66:G70" si="12">1-(F66/D66)</f>
        <v>0.05841606378</v>
      </c>
      <c r="H66" s="8" t="str">
        <f t="shared" si="1"/>
        <v>Above Forecast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</row>
    <row r="67" ht="15.75" customHeight="1">
      <c r="A67" s="5" t="s">
        <v>24</v>
      </c>
      <c r="B67" s="5" t="s">
        <v>15</v>
      </c>
      <c r="C67" s="5" t="s">
        <v>23</v>
      </c>
      <c r="D67" s="5">
        <v>180779.0</v>
      </c>
      <c r="E67" s="5"/>
      <c r="F67" s="5">
        <v>177260.09999999998</v>
      </c>
      <c r="G67" s="7">
        <f t="shared" si="12"/>
        <v>0.01946520337</v>
      </c>
      <c r="H67" s="8" t="str">
        <f t="shared" si="1"/>
        <v>Above Forecast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</row>
    <row r="68" ht="15.75" customHeight="1">
      <c r="A68" s="5" t="s">
        <v>24</v>
      </c>
      <c r="B68" s="5" t="s">
        <v>17</v>
      </c>
      <c r="C68" s="5" t="s">
        <v>23</v>
      </c>
      <c r="D68" s="5">
        <v>180067.0</v>
      </c>
      <c r="E68" s="5"/>
      <c r="F68" s="5">
        <v>178143.2</v>
      </c>
      <c r="G68" s="7">
        <f t="shared" si="12"/>
        <v>0.01068380103</v>
      </c>
      <c r="H68" s="8" t="str">
        <f t="shared" si="1"/>
        <v>Above Forecast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</row>
    <row r="69" ht="15.75" customHeight="1">
      <c r="A69" s="5" t="s">
        <v>24</v>
      </c>
      <c r="B69" s="5" t="s">
        <v>18</v>
      </c>
      <c r="C69" s="5" t="s">
        <v>23</v>
      </c>
      <c r="D69" s="5">
        <v>186103.0</v>
      </c>
      <c r="E69" s="5"/>
      <c r="F69" s="5">
        <v>179939.1</v>
      </c>
      <c r="G69" s="7">
        <f t="shared" si="12"/>
        <v>0.03312090616</v>
      </c>
      <c r="H69" s="8" t="str">
        <f t="shared" si="1"/>
        <v>Above Forecast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</row>
    <row r="70" ht="15.75" customHeight="1">
      <c r="A70" s="5" t="s">
        <v>24</v>
      </c>
      <c r="B70" s="5" t="s">
        <v>19</v>
      </c>
      <c r="C70" s="5" t="s">
        <v>23</v>
      </c>
      <c r="D70" s="5">
        <v>174272.0</v>
      </c>
      <c r="E70" s="5"/>
      <c r="F70" s="5">
        <v>180598.69999999998</v>
      </c>
      <c r="G70" s="7">
        <f t="shared" si="12"/>
        <v>-0.03630359438</v>
      </c>
      <c r="H70" s="8" t="str">
        <f t="shared" si="1"/>
        <v>Below Forecast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</row>
    <row r="71" ht="15.75" customHeight="1">
      <c r="A71" s="5" t="s">
        <v>24</v>
      </c>
      <c r="B71" s="5" t="s">
        <v>20</v>
      </c>
      <c r="C71" s="5" t="s">
        <v>23</v>
      </c>
      <c r="D71" s="5">
        <v>183757.0</v>
      </c>
      <c r="E71" s="5"/>
      <c r="F71" s="5"/>
      <c r="G71" s="7"/>
      <c r="H71" s="8" t="str">
        <f t="shared" si="1"/>
        <v/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</row>
    <row r="72" ht="15.75" customHeight="1">
      <c r="A72" s="5" t="s">
        <v>24</v>
      </c>
      <c r="B72" s="5" t="s">
        <v>21</v>
      </c>
      <c r="C72" s="5" t="s">
        <v>23</v>
      </c>
      <c r="D72" s="5">
        <v>187395.0</v>
      </c>
      <c r="E72" s="5"/>
      <c r="F72" s="5"/>
      <c r="G72" s="7"/>
      <c r="H72" s="8" t="str">
        <f t="shared" si="1"/>
        <v/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</row>
    <row r="73" ht="15.75" customHeight="1">
      <c r="A73" s="5" t="s">
        <v>24</v>
      </c>
      <c r="B73" s="5" t="s">
        <v>11</v>
      </c>
      <c r="C73" s="5" t="s">
        <v>23</v>
      </c>
      <c r="D73" s="5">
        <v>185057.0</v>
      </c>
      <c r="E73" s="5">
        <f>SUM(D62:D73)</f>
        <v>2171910</v>
      </c>
      <c r="F73" s="5"/>
      <c r="G73" s="7"/>
      <c r="H73" s="8" t="str">
        <f t="shared" si="1"/>
        <v/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</row>
    <row r="74" ht="15.75" customHeight="1">
      <c r="A74" s="5" t="s">
        <v>26</v>
      </c>
      <c r="B74" s="5" t="s">
        <v>8</v>
      </c>
      <c r="C74" s="5" t="s">
        <v>13</v>
      </c>
      <c r="D74" s="5">
        <v>69178.0</v>
      </c>
      <c r="E74" s="5"/>
      <c r="F74" s="5">
        <v>73347.3</v>
      </c>
      <c r="G74" s="7">
        <f>1-(F74/D74)</f>
        <v>-0.06026916072</v>
      </c>
      <c r="H74" s="8" t="str">
        <f t="shared" si="1"/>
        <v>Below Forecast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</row>
    <row r="75" ht="15.75" customHeight="1">
      <c r="A75" s="5" t="s">
        <v>26</v>
      </c>
      <c r="B75" s="5" t="s">
        <v>10</v>
      </c>
      <c r="C75" s="5" t="s">
        <v>13</v>
      </c>
      <c r="D75" s="5">
        <v>66904.0</v>
      </c>
      <c r="E75" s="5"/>
      <c r="F75" s="5"/>
      <c r="G75" s="5"/>
      <c r="H75" s="8" t="str">
        <f t="shared" si="1"/>
        <v/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</row>
    <row r="76" ht="15.75" customHeight="1">
      <c r="A76" s="5" t="s">
        <v>26</v>
      </c>
      <c r="B76" s="5" t="s">
        <v>12</v>
      </c>
      <c r="C76" s="5" t="s">
        <v>13</v>
      </c>
      <c r="D76" s="5">
        <v>65876.0</v>
      </c>
      <c r="E76" s="5"/>
      <c r="F76" s="5"/>
      <c r="G76" s="5"/>
      <c r="H76" s="8" t="str">
        <f t="shared" si="1"/>
        <v/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</row>
    <row r="77" ht="15.75" customHeight="1">
      <c r="A77" s="5" t="s">
        <v>26</v>
      </c>
      <c r="B77" s="5" t="s">
        <v>14</v>
      </c>
      <c r="C77" s="5" t="s">
        <v>13</v>
      </c>
      <c r="D77" s="5">
        <v>66582.0</v>
      </c>
      <c r="E77" s="5"/>
      <c r="F77" s="5">
        <v>69050.40000000001</v>
      </c>
      <c r="G77" s="7">
        <f t="shared" ref="G77:G78" si="13">1-(F77/D77)</f>
        <v>-0.03707308282</v>
      </c>
      <c r="H77" s="8" t="str">
        <f t="shared" si="1"/>
        <v>Below Forecast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</row>
    <row r="78" ht="15.75" customHeight="1">
      <c r="A78" s="5" t="s">
        <v>26</v>
      </c>
      <c r="B78" s="5" t="s">
        <v>15</v>
      </c>
      <c r="C78" s="5" t="s">
        <v>13</v>
      </c>
      <c r="D78" s="5">
        <v>67227.0</v>
      </c>
      <c r="E78" s="5"/>
      <c r="F78" s="5">
        <v>68313.0</v>
      </c>
      <c r="G78" s="7">
        <f t="shared" si="13"/>
        <v>-0.01615422375</v>
      </c>
      <c r="H78" s="8" t="str">
        <f t="shared" si="1"/>
        <v>Below Forecast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</row>
    <row r="79" ht="15.75" customHeight="1">
      <c r="A79" s="5" t="s">
        <v>26</v>
      </c>
      <c r="B79" s="5" t="s">
        <v>16</v>
      </c>
      <c r="C79" s="5" t="s">
        <v>13</v>
      </c>
      <c r="D79" s="5">
        <v>68260.0</v>
      </c>
      <c r="E79" s="5"/>
      <c r="F79" s="5"/>
      <c r="G79" s="5"/>
      <c r="H79" s="8" t="str">
        <f t="shared" si="1"/>
        <v/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</row>
    <row r="80" ht="15.75" customHeight="1">
      <c r="A80" s="5" t="s">
        <v>26</v>
      </c>
      <c r="B80" s="5" t="s">
        <v>17</v>
      </c>
      <c r="C80" s="5" t="s">
        <v>13</v>
      </c>
      <c r="D80" s="5">
        <v>68718.0</v>
      </c>
      <c r="E80" s="5"/>
      <c r="F80" s="5">
        <v>71078.3</v>
      </c>
      <c r="G80" s="7">
        <f t="shared" ref="G80:G82" si="14">1-(F80/D80)</f>
        <v>-0.03434762362</v>
      </c>
      <c r="H80" s="8" t="str">
        <f t="shared" si="1"/>
        <v>Below Forecast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</row>
    <row r="81" ht="15.75" customHeight="1">
      <c r="A81" s="5" t="s">
        <v>26</v>
      </c>
      <c r="B81" s="5" t="s">
        <v>18</v>
      </c>
      <c r="C81" s="5" t="s">
        <v>13</v>
      </c>
      <c r="D81" s="5">
        <v>67428.0</v>
      </c>
      <c r="E81" s="5"/>
      <c r="F81" s="5">
        <v>69029.1</v>
      </c>
      <c r="G81" s="7">
        <f t="shared" si="14"/>
        <v>-0.02374532835</v>
      </c>
      <c r="H81" s="8" t="str">
        <f t="shared" si="1"/>
        <v>Below Forecast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</row>
    <row r="82" ht="15.75" customHeight="1">
      <c r="A82" s="5" t="s">
        <v>26</v>
      </c>
      <c r="B82" s="5" t="s">
        <v>19</v>
      </c>
      <c r="C82" s="5" t="s">
        <v>13</v>
      </c>
      <c r="D82" s="5">
        <v>71216.0</v>
      </c>
      <c r="E82" s="5"/>
      <c r="F82" s="5">
        <v>71511.09999999999</v>
      </c>
      <c r="G82" s="7">
        <f t="shared" si="14"/>
        <v>-0.004143731746</v>
      </c>
      <c r="H82" s="8" t="str">
        <f t="shared" si="1"/>
        <v>Below Forecast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</row>
    <row r="83" ht="15.75" customHeight="1">
      <c r="A83" s="5" t="s">
        <v>26</v>
      </c>
      <c r="B83" s="5" t="s">
        <v>20</v>
      </c>
      <c r="C83" s="5" t="s">
        <v>13</v>
      </c>
      <c r="D83" s="5">
        <v>66346.0</v>
      </c>
      <c r="E83" s="5"/>
      <c r="F83" s="5"/>
      <c r="G83" s="5"/>
      <c r="H83" s="8" t="str">
        <f t="shared" si="1"/>
        <v/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</row>
    <row r="84" ht="15.75" customHeight="1">
      <c r="A84" s="5" t="s">
        <v>26</v>
      </c>
      <c r="B84" s="5" t="s">
        <v>21</v>
      </c>
      <c r="C84" s="5" t="s">
        <v>13</v>
      </c>
      <c r="D84" s="5">
        <v>65618.0</v>
      </c>
      <c r="E84" s="5"/>
      <c r="F84" s="5"/>
      <c r="G84" s="5"/>
      <c r="H84" s="8" t="str">
        <f t="shared" si="1"/>
        <v/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</row>
    <row r="85" ht="15.75" customHeight="1">
      <c r="A85" s="5" t="s">
        <v>26</v>
      </c>
      <c r="B85" s="5" t="s">
        <v>11</v>
      </c>
      <c r="C85" s="5" t="s">
        <v>13</v>
      </c>
      <c r="D85" s="5">
        <v>69204.0</v>
      </c>
      <c r="E85" s="5">
        <f>SUM(D74:D85)</f>
        <v>812557</v>
      </c>
      <c r="F85" s="5"/>
      <c r="G85" s="5"/>
      <c r="H85" s="8" t="str">
        <f t="shared" si="1"/>
        <v/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</row>
    <row r="86" ht="15.75" customHeight="1">
      <c r="A86" s="5" t="s">
        <v>26</v>
      </c>
      <c r="B86" s="5" t="s">
        <v>8</v>
      </c>
      <c r="C86" s="5" t="s">
        <v>22</v>
      </c>
      <c r="D86" s="5">
        <v>66212.0</v>
      </c>
      <c r="E86" s="5"/>
      <c r="F86" s="5">
        <v>69585.0</v>
      </c>
      <c r="G86" s="7">
        <f>1-(F86/D86)</f>
        <v>-0.05094242735</v>
      </c>
      <c r="H86" s="8" t="str">
        <f t="shared" si="1"/>
        <v>Below Forecast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</row>
    <row r="87" ht="15.75" customHeight="1">
      <c r="A87" s="5" t="s">
        <v>26</v>
      </c>
      <c r="B87" s="5" t="s">
        <v>10</v>
      </c>
      <c r="C87" s="5" t="s">
        <v>22</v>
      </c>
      <c r="D87" s="5">
        <v>65713.0</v>
      </c>
      <c r="E87" s="5"/>
      <c r="F87" s="5"/>
      <c r="G87" s="5"/>
      <c r="H87" s="8" t="str">
        <f t="shared" si="1"/>
        <v/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</row>
    <row r="88" ht="15.75" customHeight="1">
      <c r="A88" s="5" t="s">
        <v>26</v>
      </c>
      <c r="B88" s="5" t="s">
        <v>12</v>
      </c>
      <c r="C88" s="5" t="s">
        <v>22</v>
      </c>
      <c r="D88" s="5">
        <v>66567.0</v>
      </c>
      <c r="E88" s="5"/>
      <c r="F88" s="5"/>
      <c r="G88" s="5"/>
      <c r="H88" s="8" t="str">
        <f t="shared" si="1"/>
        <v/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</row>
    <row r="89" ht="15.75" customHeight="1">
      <c r="A89" s="5" t="s">
        <v>26</v>
      </c>
      <c r="B89" s="5" t="s">
        <v>14</v>
      </c>
      <c r="C89" s="5" t="s">
        <v>22</v>
      </c>
      <c r="D89" s="5">
        <v>65165.0</v>
      </c>
      <c r="E89" s="5"/>
      <c r="F89" s="5">
        <v>70551.2</v>
      </c>
      <c r="G89" s="7">
        <f t="shared" ref="G89:G90" si="15">1-(F89/D89)</f>
        <v>-0.08265479936</v>
      </c>
      <c r="H89" s="8" t="str">
        <f t="shared" si="1"/>
        <v>Below Forecast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</row>
    <row r="90" ht="15.75" customHeight="1">
      <c r="A90" s="5" t="s">
        <v>26</v>
      </c>
      <c r="B90" s="5" t="s">
        <v>15</v>
      </c>
      <c r="C90" s="5" t="s">
        <v>22</v>
      </c>
      <c r="D90" s="5">
        <v>68052.0</v>
      </c>
      <c r="E90" s="5"/>
      <c r="F90" s="5">
        <v>69228.0</v>
      </c>
      <c r="G90" s="7">
        <f t="shared" si="15"/>
        <v>-0.01728090284</v>
      </c>
      <c r="H90" s="8" t="str">
        <f t="shared" si="1"/>
        <v>Below Forecast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</row>
    <row r="91" ht="15.75" customHeight="1">
      <c r="A91" s="5" t="s">
        <v>26</v>
      </c>
      <c r="B91" s="5" t="s">
        <v>16</v>
      </c>
      <c r="C91" s="5" t="s">
        <v>22</v>
      </c>
      <c r="D91" s="5">
        <v>69349.0</v>
      </c>
      <c r="E91" s="5"/>
      <c r="F91" s="5"/>
      <c r="G91" s="5"/>
      <c r="H91" s="8" t="str">
        <f t="shared" si="1"/>
        <v/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</row>
    <row r="92" ht="15.75" customHeight="1">
      <c r="A92" s="5" t="s">
        <v>26</v>
      </c>
      <c r="B92" s="5" t="s">
        <v>17</v>
      </c>
      <c r="C92" s="5" t="s">
        <v>22</v>
      </c>
      <c r="D92" s="5">
        <v>71092.0</v>
      </c>
      <c r="E92" s="5"/>
      <c r="F92" s="5">
        <v>67528.7</v>
      </c>
      <c r="G92" s="7">
        <f t="shared" ref="G92:G94" si="16">1-(F92/D92)</f>
        <v>0.05012237664</v>
      </c>
      <c r="H92" s="8" t="str">
        <f t="shared" si="1"/>
        <v>Above Forecast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</row>
    <row r="93" ht="15.75" customHeight="1">
      <c r="A93" s="5" t="s">
        <v>26</v>
      </c>
      <c r="B93" s="5" t="s">
        <v>18</v>
      </c>
      <c r="C93" s="5" t="s">
        <v>22</v>
      </c>
      <c r="D93" s="5">
        <v>70288.0</v>
      </c>
      <c r="E93" s="5"/>
      <c r="F93" s="5">
        <v>66888.9</v>
      </c>
      <c r="G93" s="7">
        <f t="shared" si="16"/>
        <v>0.04835960619</v>
      </c>
      <c r="H93" s="8" t="str">
        <f t="shared" si="1"/>
        <v>Above Forecast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</row>
    <row r="94" ht="15.75" customHeight="1">
      <c r="A94" s="5" t="s">
        <v>26</v>
      </c>
      <c r="B94" s="5" t="s">
        <v>19</v>
      </c>
      <c r="C94" s="5" t="s">
        <v>22</v>
      </c>
      <c r="D94" s="5">
        <v>66546.0</v>
      </c>
      <c r="E94" s="5"/>
      <c r="F94" s="5">
        <v>71725.9</v>
      </c>
      <c r="G94" s="7">
        <f t="shared" si="16"/>
        <v>-0.07783938929</v>
      </c>
      <c r="H94" s="8" t="str">
        <f t="shared" si="1"/>
        <v>Below Forecast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</row>
    <row r="95" ht="15.75" customHeight="1">
      <c r="A95" s="5" t="s">
        <v>26</v>
      </c>
      <c r="B95" s="5" t="s">
        <v>20</v>
      </c>
      <c r="C95" s="5" t="s">
        <v>22</v>
      </c>
      <c r="D95" s="5">
        <v>68266.0</v>
      </c>
      <c r="E95" s="5"/>
      <c r="F95" s="5"/>
      <c r="G95" s="5"/>
      <c r="H95" s="8" t="str">
        <f t="shared" si="1"/>
        <v/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</row>
    <row r="96" ht="15.75" customHeight="1">
      <c r="A96" s="5" t="s">
        <v>26</v>
      </c>
      <c r="B96" s="5" t="s">
        <v>21</v>
      </c>
      <c r="C96" s="5" t="s">
        <v>22</v>
      </c>
      <c r="D96" s="5">
        <v>69139.0</v>
      </c>
      <c r="E96" s="5"/>
      <c r="F96" s="5"/>
      <c r="G96" s="5"/>
      <c r="H96" s="8" t="str">
        <f t="shared" si="1"/>
        <v/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</row>
    <row r="97" ht="15.75" customHeight="1">
      <c r="A97" s="5" t="s">
        <v>26</v>
      </c>
      <c r="B97" s="5" t="s">
        <v>11</v>
      </c>
      <c r="C97" s="5" t="s">
        <v>22</v>
      </c>
      <c r="D97" s="5">
        <v>71380.0</v>
      </c>
      <c r="E97" s="5">
        <f>SUM(D86:D97)</f>
        <v>817769</v>
      </c>
      <c r="F97" s="5"/>
      <c r="G97" s="5"/>
      <c r="H97" s="8" t="str">
        <f t="shared" si="1"/>
        <v/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</row>
    <row r="98" ht="15.75" customHeight="1">
      <c r="A98" s="5" t="s">
        <v>26</v>
      </c>
      <c r="B98" s="5" t="s">
        <v>8</v>
      </c>
      <c r="C98" s="6" t="s">
        <v>25</v>
      </c>
      <c r="D98" s="5">
        <v>68935.0</v>
      </c>
      <c r="E98" s="5"/>
      <c r="F98" s="5">
        <v>65915.40000000001</v>
      </c>
      <c r="G98" s="7">
        <f>1-(F98/D98)</f>
        <v>0.04380358309</v>
      </c>
      <c r="H98" s="8" t="str">
        <f t="shared" si="1"/>
        <v>Above Forecast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</row>
    <row r="99" ht="15.75" customHeight="1">
      <c r="A99" s="5" t="s">
        <v>26</v>
      </c>
      <c r="B99" s="5" t="s">
        <v>10</v>
      </c>
      <c r="C99" s="5" t="s">
        <v>23</v>
      </c>
      <c r="D99" s="5">
        <v>66528.0</v>
      </c>
      <c r="E99" s="5"/>
      <c r="F99" s="5"/>
      <c r="G99" s="5"/>
      <c r="H99" s="8" t="str">
        <f t="shared" si="1"/>
        <v/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</row>
    <row r="100" ht="15.75" customHeight="1">
      <c r="A100" s="5" t="s">
        <v>26</v>
      </c>
      <c r="B100" s="5" t="s">
        <v>12</v>
      </c>
      <c r="C100" s="5" t="s">
        <v>23</v>
      </c>
      <c r="D100" s="5">
        <v>66715.0</v>
      </c>
      <c r="E100" s="5"/>
      <c r="F100" s="5"/>
      <c r="G100" s="5"/>
      <c r="H100" s="8" t="str">
        <f t="shared" si="1"/>
        <v/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</row>
    <row r="101" ht="15.75" customHeight="1">
      <c r="A101" s="5" t="s">
        <v>26</v>
      </c>
      <c r="B101" s="5" t="s">
        <v>14</v>
      </c>
      <c r="C101" s="5" t="s">
        <v>23</v>
      </c>
      <c r="D101" s="5">
        <v>70526.0</v>
      </c>
      <c r="E101" s="5"/>
      <c r="F101" s="5">
        <v>66951.09999999999</v>
      </c>
      <c r="G101" s="7">
        <f t="shared" ref="G101:G102" si="17">1-(F101/D101)</f>
        <v>0.05068910756</v>
      </c>
      <c r="H101" s="8" t="str">
        <f t="shared" si="1"/>
        <v>Above Forecast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</row>
    <row r="102" ht="15.75" customHeight="1">
      <c r="A102" s="5" t="s">
        <v>26</v>
      </c>
      <c r="B102" s="5" t="s">
        <v>15</v>
      </c>
      <c r="C102" s="5" t="s">
        <v>23</v>
      </c>
      <c r="D102" s="5">
        <v>68557.0</v>
      </c>
      <c r="E102" s="5"/>
      <c r="F102" s="5">
        <v>68448.9</v>
      </c>
      <c r="G102" s="7">
        <f t="shared" si="17"/>
        <v>0.001576790116</v>
      </c>
      <c r="H102" s="8" t="str">
        <f t="shared" si="1"/>
        <v>Above Forecast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</row>
    <row r="103" ht="15.75" customHeight="1">
      <c r="A103" s="5" t="s">
        <v>26</v>
      </c>
      <c r="B103" s="5" t="s">
        <v>16</v>
      </c>
      <c r="C103" s="5" t="s">
        <v>23</v>
      </c>
      <c r="D103" s="5">
        <v>68336.0</v>
      </c>
      <c r="E103" s="5"/>
      <c r="F103" s="5"/>
      <c r="G103" s="5"/>
      <c r="H103" s="8" t="str">
        <f t="shared" si="1"/>
        <v/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</row>
    <row r="104" ht="15.75" customHeight="1">
      <c r="A104" s="5" t="s">
        <v>26</v>
      </c>
      <c r="B104" s="5" t="s">
        <v>17</v>
      </c>
      <c r="C104" s="5" t="s">
        <v>23</v>
      </c>
      <c r="D104" s="5">
        <v>65524.0</v>
      </c>
      <c r="E104" s="5"/>
      <c r="F104" s="5">
        <v>69808.9</v>
      </c>
      <c r="G104" s="7">
        <f t="shared" ref="G104:G106" si="18">1-(F104/D104)</f>
        <v>-0.06539435932</v>
      </c>
      <c r="H104" s="8" t="str">
        <f t="shared" si="1"/>
        <v>Below Forecast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</row>
    <row r="105" ht="15.75" customHeight="1">
      <c r="A105" s="5" t="s">
        <v>26</v>
      </c>
      <c r="B105" s="5" t="s">
        <v>18</v>
      </c>
      <c r="C105" s="5" t="s">
        <v>23</v>
      </c>
      <c r="D105" s="5">
        <v>66246.0</v>
      </c>
      <c r="E105" s="5"/>
      <c r="F105" s="5">
        <v>67400.6</v>
      </c>
      <c r="G105" s="7">
        <f t="shared" si="18"/>
        <v>-0.01742897684</v>
      </c>
      <c r="H105" s="8" t="str">
        <f t="shared" si="1"/>
        <v>Below Forecast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</row>
    <row r="106" ht="15.75" customHeight="1">
      <c r="A106" s="5" t="s">
        <v>26</v>
      </c>
      <c r="B106" s="5" t="s">
        <v>19</v>
      </c>
      <c r="C106" s="5" t="s">
        <v>23</v>
      </c>
      <c r="D106" s="5">
        <v>66198.0</v>
      </c>
      <c r="E106" s="5"/>
      <c r="F106" s="5">
        <v>68168.6</v>
      </c>
      <c r="G106" s="7">
        <f t="shared" si="18"/>
        <v>-0.02976827094</v>
      </c>
      <c r="H106" s="8" t="str">
        <f t="shared" si="1"/>
        <v>Below Forecast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</row>
    <row r="107" ht="15.75" customHeight="1">
      <c r="A107" s="5" t="s">
        <v>26</v>
      </c>
      <c r="B107" s="5" t="s">
        <v>20</v>
      </c>
      <c r="C107" s="5" t="s">
        <v>23</v>
      </c>
      <c r="D107" s="5">
        <v>67916.0</v>
      </c>
      <c r="E107" s="5"/>
      <c r="F107" s="5"/>
      <c r="G107" s="5"/>
      <c r="H107" s="8" t="str">
        <f t="shared" si="1"/>
        <v/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</row>
    <row r="108" ht="15.75" customHeight="1">
      <c r="A108" s="5" t="s">
        <v>26</v>
      </c>
      <c r="B108" s="5" t="s">
        <v>21</v>
      </c>
      <c r="C108" s="5" t="s">
        <v>23</v>
      </c>
      <c r="D108" s="5">
        <v>68480.0</v>
      </c>
      <c r="E108" s="5"/>
      <c r="F108" s="5"/>
      <c r="G108" s="5"/>
      <c r="H108" s="8" t="str">
        <f t="shared" si="1"/>
        <v/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</row>
    <row r="109" ht="15.75" customHeight="1">
      <c r="A109" s="5" t="s">
        <v>26</v>
      </c>
      <c r="B109" s="5" t="s">
        <v>11</v>
      </c>
      <c r="C109" s="5" t="s">
        <v>23</v>
      </c>
      <c r="D109" s="5">
        <v>66598.0</v>
      </c>
      <c r="E109" s="5">
        <f>SUM(D98:D109)</f>
        <v>810559</v>
      </c>
      <c r="F109" s="5"/>
      <c r="G109" s="5"/>
      <c r="H109" s="8" t="str">
        <f t="shared" si="1"/>
        <v/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</row>
    <row r="110" ht="15.75" customHeight="1">
      <c r="A110" s="5" t="s">
        <v>27</v>
      </c>
      <c r="B110" s="5" t="s">
        <v>8</v>
      </c>
      <c r="C110" s="5" t="s">
        <v>13</v>
      </c>
      <c r="D110" s="5">
        <v>293401.0</v>
      </c>
      <c r="E110" s="5"/>
      <c r="F110" s="5">
        <v>300199.9</v>
      </c>
      <c r="G110" s="7">
        <f>1-(F110/D110)</f>
        <v>-0.02317272266</v>
      </c>
      <c r="H110" s="8" t="str">
        <f t="shared" si="1"/>
        <v>Below Forecast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</row>
    <row r="111" ht="15.75" customHeight="1">
      <c r="A111" s="5" t="s">
        <v>27</v>
      </c>
      <c r="B111" s="5" t="s">
        <v>10</v>
      </c>
      <c r="C111" s="5" t="s">
        <v>13</v>
      </c>
      <c r="D111" s="5">
        <v>303841.0</v>
      </c>
      <c r="E111" s="5"/>
      <c r="F111" s="5"/>
      <c r="G111" s="5"/>
      <c r="H111" s="8" t="str">
        <f t="shared" si="1"/>
        <v/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</row>
    <row r="112" ht="15.75" customHeight="1">
      <c r="A112" s="5" t="s">
        <v>27</v>
      </c>
      <c r="B112" s="5" t="s">
        <v>12</v>
      </c>
      <c r="C112" s="5" t="s">
        <v>13</v>
      </c>
      <c r="D112" s="5">
        <v>300575.0</v>
      </c>
      <c r="E112" s="5"/>
      <c r="F112" s="5"/>
      <c r="G112" s="5"/>
      <c r="H112" s="8" t="str">
        <f t="shared" si="1"/>
        <v/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</row>
    <row r="113" ht="15.75" customHeight="1">
      <c r="A113" s="5" t="s">
        <v>27</v>
      </c>
      <c r="B113" s="5" t="s">
        <v>14</v>
      </c>
      <c r="C113" s="5" t="s">
        <v>13</v>
      </c>
      <c r="D113" s="5">
        <v>298427.0</v>
      </c>
      <c r="E113" s="5"/>
      <c r="F113" s="5">
        <v>291296.10000000003</v>
      </c>
      <c r="G113" s="7">
        <f t="shared" ref="G113:G114" si="19">1-(F113/D113)</f>
        <v>0.02389495589</v>
      </c>
      <c r="H113" s="8" t="str">
        <f t="shared" si="1"/>
        <v>Above Forecast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</row>
    <row r="114" ht="15.75" customHeight="1">
      <c r="A114" s="5" t="s">
        <v>27</v>
      </c>
      <c r="B114" s="5" t="s">
        <v>15</v>
      </c>
      <c r="C114" s="5" t="s">
        <v>13</v>
      </c>
      <c r="D114" s="5">
        <v>293877.0</v>
      </c>
      <c r="E114" s="5"/>
      <c r="F114" s="5">
        <v>300444.0</v>
      </c>
      <c r="G114" s="7">
        <f t="shared" si="19"/>
        <v>-0.02234608357</v>
      </c>
      <c r="H114" s="8" t="str">
        <f t="shared" si="1"/>
        <v>Below Forecast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</row>
    <row r="115" ht="15.75" customHeight="1">
      <c r="A115" s="5" t="s">
        <v>27</v>
      </c>
      <c r="B115" s="5" t="s">
        <v>16</v>
      </c>
      <c r="C115" s="5" t="s">
        <v>13</v>
      </c>
      <c r="D115" s="5">
        <v>302564.0</v>
      </c>
      <c r="E115" s="5"/>
      <c r="F115" s="5"/>
      <c r="G115" s="5"/>
      <c r="H115" s="8" t="str">
        <f t="shared" si="1"/>
        <v/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</row>
    <row r="116" ht="15.75" customHeight="1">
      <c r="A116" s="5" t="s">
        <v>27</v>
      </c>
      <c r="B116" s="5" t="s">
        <v>17</v>
      </c>
      <c r="C116" s="5" t="s">
        <v>13</v>
      </c>
      <c r="D116" s="5">
        <v>289365.0</v>
      </c>
      <c r="E116" s="5"/>
      <c r="F116" s="5">
        <v>305086.89999999997</v>
      </c>
      <c r="G116" s="7">
        <f t="shared" ref="G116:G118" si="20">1-(F116/D116)</f>
        <v>-0.05433241753</v>
      </c>
      <c r="H116" s="8" t="str">
        <f t="shared" si="1"/>
        <v>Below Forecast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</row>
    <row r="117" ht="15.75" customHeight="1">
      <c r="A117" s="5" t="s">
        <v>27</v>
      </c>
      <c r="B117" s="5" t="s">
        <v>18</v>
      </c>
      <c r="C117" s="5" t="s">
        <v>13</v>
      </c>
      <c r="D117" s="5">
        <v>304038.0</v>
      </c>
      <c r="E117" s="5"/>
      <c r="F117" s="5">
        <v>307468.39999999997</v>
      </c>
      <c r="G117" s="7">
        <f t="shared" si="20"/>
        <v>-0.01128280018</v>
      </c>
      <c r="H117" s="8" t="str">
        <f t="shared" si="1"/>
        <v>Below Forecast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</row>
    <row r="118" ht="15.75" customHeight="1">
      <c r="A118" s="5" t="s">
        <v>27</v>
      </c>
      <c r="B118" s="5" t="s">
        <v>19</v>
      </c>
      <c r="C118" s="5" t="s">
        <v>13</v>
      </c>
      <c r="D118" s="5">
        <v>306915.0</v>
      </c>
      <c r="E118" s="5"/>
      <c r="F118" s="5">
        <v>295388.60000000003</v>
      </c>
      <c r="G118" s="7">
        <f t="shared" si="20"/>
        <v>0.03755567502</v>
      </c>
      <c r="H118" s="8" t="str">
        <f t="shared" si="1"/>
        <v>Above Forecast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</row>
    <row r="119" ht="15.75" customHeight="1">
      <c r="A119" s="5" t="s">
        <v>27</v>
      </c>
      <c r="B119" s="5" t="s">
        <v>20</v>
      </c>
      <c r="C119" s="5" t="s">
        <v>13</v>
      </c>
      <c r="D119" s="5">
        <v>302617.0</v>
      </c>
      <c r="E119" s="5"/>
      <c r="F119" s="5"/>
      <c r="G119" s="5"/>
      <c r="H119" s="8" t="str">
        <f t="shared" si="1"/>
        <v/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</row>
    <row r="120" ht="15.75" customHeight="1">
      <c r="A120" s="5" t="s">
        <v>27</v>
      </c>
      <c r="B120" s="5" t="s">
        <v>21</v>
      </c>
      <c r="C120" s="5" t="s">
        <v>13</v>
      </c>
      <c r="D120" s="5">
        <v>306457.0</v>
      </c>
      <c r="E120" s="5"/>
      <c r="F120" s="5"/>
      <c r="G120" s="5"/>
      <c r="H120" s="8" t="str">
        <f t="shared" si="1"/>
        <v/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</row>
    <row r="121" ht="15.75" customHeight="1">
      <c r="A121" s="5" t="s">
        <v>27</v>
      </c>
      <c r="B121" s="5" t="s">
        <v>11</v>
      </c>
      <c r="C121" s="5" t="s">
        <v>13</v>
      </c>
      <c r="D121" s="5">
        <v>290326.0</v>
      </c>
      <c r="E121" s="5">
        <f>SUM(D110:D121)</f>
        <v>3592403</v>
      </c>
      <c r="F121" s="5"/>
      <c r="G121" s="5"/>
      <c r="H121" s="8" t="str">
        <f t="shared" si="1"/>
        <v/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</row>
    <row r="122" ht="15.75" customHeight="1">
      <c r="A122" s="5" t="s">
        <v>27</v>
      </c>
      <c r="B122" s="5" t="s">
        <v>8</v>
      </c>
      <c r="C122" s="5" t="s">
        <v>22</v>
      </c>
      <c r="D122" s="5">
        <v>299077.0</v>
      </c>
      <c r="E122" s="5"/>
      <c r="F122" s="5">
        <v>287660.6</v>
      </c>
      <c r="G122" s="7">
        <f>1-(F122/D122)</f>
        <v>0.03817210952</v>
      </c>
      <c r="H122" s="8" t="str">
        <f t="shared" si="1"/>
        <v>Above Forecast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</row>
    <row r="123" ht="15.75" customHeight="1">
      <c r="A123" s="5" t="s">
        <v>27</v>
      </c>
      <c r="B123" s="5" t="s">
        <v>10</v>
      </c>
      <c r="C123" s="5" t="s">
        <v>22</v>
      </c>
      <c r="D123" s="5">
        <v>299737.0</v>
      </c>
      <c r="E123" s="5"/>
      <c r="F123" s="5"/>
      <c r="G123" s="5"/>
      <c r="H123" s="8" t="str">
        <f t="shared" si="1"/>
        <v/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</row>
    <row r="124" ht="15.75" customHeight="1">
      <c r="A124" s="5" t="s">
        <v>27</v>
      </c>
      <c r="B124" s="5" t="s">
        <v>12</v>
      </c>
      <c r="C124" s="5" t="s">
        <v>22</v>
      </c>
      <c r="D124" s="5">
        <v>295542.0</v>
      </c>
      <c r="E124" s="5"/>
      <c r="F124" s="5"/>
      <c r="G124" s="5"/>
      <c r="H124" s="8" t="str">
        <f t="shared" si="1"/>
        <v/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</row>
    <row r="125" ht="15.75" customHeight="1">
      <c r="A125" s="5" t="s">
        <v>27</v>
      </c>
      <c r="B125" s="5" t="s">
        <v>14</v>
      </c>
      <c r="C125" s="5" t="s">
        <v>22</v>
      </c>
      <c r="D125" s="5">
        <v>290840.0</v>
      </c>
      <c r="E125" s="5"/>
      <c r="F125" s="5">
        <v>312089.4</v>
      </c>
      <c r="G125" s="7">
        <f t="shared" ref="G125:G126" si="21">1-(F125/D125)</f>
        <v>-0.07306216476</v>
      </c>
      <c r="H125" s="8" t="str">
        <f t="shared" si="1"/>
        <v>Below Forecast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</row>
    <row r="126" ht="15.75" customHeight="1">
      <c r="A126" s="5" t="s">
        <v>27</v>
      </c>
      <c r="B126" s="5" t="s">
        <v>15</v>
      </c>
      <c r="C126" s="5" t="s">
        <v>22</v>
      </c>
      <c r="D126" s="5">
        <v>307997.0</v>
      </c>
      <c r="E126" s="5"/>
      <c r="F126" s="5">
        <v>306342.50000000006</v>
      </c>
      <c r="G126" s="7">
        <f t="shared" si="21"/>
        <v>0.00537180557</v>
      </c>
      <c r="H126" s="8" t="str">
        <f t="shared" si="1"/>
        <v>Above Forecast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</row>
    <row r="127" ht="15.75" customHeight="1">
      <c r="A127" s="5" t="s">
        <v>27</v>
      </c>
      <c r="B127" s="5" t="s">
        <v>16</v>
      </c>
      <c r="C127" s="5" t="s">
        <v>22</v>
      </c>
      <c r="D127" s="5">
        <v>291421.0</v>
      </c>
      <c r="E127" s="5"/>
      <c r="F127" s="5"/>
      <c r="G127" s="5"/>
      <c r="H127" s="8" t="str">
        <f t="shared" si="1"/>
        <v/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</row>
    <row r="128" ht="15.75" customHeight="1">
      <c r="A128" s="5" t="s">
        <v>27</v>
      </c>
      <c r="B128" s="5" t="s">
        <v>17</v>
      </c>
      <c r="C128" s="5" t="s">
        <v>22</v>
      </c>
      <c r="D128" s="5">
        <v>305142.0</v>
      </c>
      <c r="E128" s="5"/>
      <c r="F128" s="5">
        <v>292035.10000000003</v>
      </c>
      <c r="G128" s="7">
        <f t="shared" ref="G128:G130" si="22">1-(F128/D128)</f>
        <v>0.04295344463</v>
      </c>
      <c r="H128" s="8" t="str">
        <f t="shared" si="1"/>
        <v>Above Forecast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</row>
    <row r="129" ht="15.75" customHeight="1">
      <c r="A129" s="5" t="s">
        <v>27</v>
      </c>
      <c r="B129" s="5" t="s">
        <v>18</v>
      </c>
      <c r="C129" s="5" t="s">
        <v>22</v>
      </c>
      <c r="D129" s="5">
        <v>304165.0</v>
      </c>
      <c r="E129" s="5"/>
      <c r="F129" s="5">
        <v>297633.9000000001</v>
      </c>
      <c r="G129" s="7">
        <f t="shared" si="22"/>
        <v>0.02147222725</v>
      </c>
      <c r="H129" s="8" t="str">
        <f t="shared" si="1"/>
        <v>Above Forecast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</row>
    <row r="130" ht="15.75" customHeight="1">
      <c r="A130" s="5" t="s">
        <v>27</v>
      </c>
      <c r="B130" s="5" t="s">
        <v>19</v>
      </c>
      <c r="C130" s="5" t="s">
        <v>22</v>
      </c>
      <c r="D130" s="5">
        <v>291073.0</v>
      </c>
      <c r="E130" s="5"/>
      <c r="F130" s="5">
        <v>291304.60000000003</v>
      </c>
      <c r="G130" s="7">
        <f t="shared" si="22"/>
        <v>-0.0007956766859</v>
      </c>
      <c r="H130" s="8" t="str">
        <f t="shared" si="1"/>
        <v>Below Forecast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</row>
    <row r="131" ht="15.75" customHeight="1">
      <c r="A131" s="5" t="s">
        <v>27</v>
      </c>
      <c r="B131" s="5" t="s">
        <v>20</v>
      </c>
      <c r="C131" s="5" t="s">
        <v>22</v>
      </c>
      <c r="D131" s="5">
        <v>303331.0</v>
      </c>
      <c r="E131" s="5"/>
      <c r="F131" s="5"/>
      <c r="G131" s="5"/>
      <c r="H131" s="8" t="str">
        <f t="shared" si="1"/>
        <v/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</row>
    <row r="132" ht="15.75" customHeight="1">
      <c r="A132" s="5" t="s">
        <v>27</v>
      </c>
      <c r="B132" s="5" t="s">
        <v>21</v>
      </c>
      <c r="C132" s="5" t="s">
        <v>22</v>
      </c>
      <c r="D132" s="5">
        <v>289352.0</v>
      </c>
      <c r="E132" s="5"/>
      <c r="F132" s="5"/>
      <c r="G132" s="5"/>
      <c r="H132" s="8" t="str">
        <f t="shared" si="1"/>
        <v/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</row>
    <row r="133" ht="15.75" customHeight="1">
      <c r="A133" s="5" t="s">
        <v>27</v>
      </c>
      <c r="B133" s="5" t="s">
        <v>11</v>
      </c>
      <c r="C133" s="5" t="s">
        <v>22</v>
      </c>
      <c r="D133" s="5">
        <v>305836.0</v>
      </c>
      <c r="E133" s="5">
        <f>SUM(D122:D133)</f>
        <v>3583513</v>
      </c>
      <c r="F133" s="5"/>
      <c r="G133" s="5"/>
      <c r="H133" s="8" t="str">
        <f t="shared" si="1"/>
        <v/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</row>
    <row r="134" ht="15.75" customHeight="1">
      <c r="A134" s="5" t="s">
        <v>27</v>
      </c>
      <c r="B134" s="5" t="s">
        <v>8</v>
      </c>
      <c r="C134" s="5" t="s">
        <v>23</v>
      </c>
      <c r="D134" s="5">
        <v>293721.0</v>
      </c>
      <c r="E134" s="5"/>
      <c r="F134" s="5">
        <v>294953.60000000003</v>
      </c>
      <c r="G134" s="7">
        <f>1-(F134/D134)</f>
        <v>-0.004196499399</v>
      </c>
      <c r="H134" s="8" t="str">
        <f t="shared" si="1"/>
        <v>Below Forecast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</row>
    <row r="135" ht="15.75" customHeight="1">
      <c r="A135" s="5" t="s">
        <v>27</v>
      </c>
      <c r="B135" s="5" t="s">
        <v>10</v>
      </c>
      <c r="C135" s="5" t="s">
        <v>23</v>
      </c>
      <c r="D135" s="5">
        <v>303060.0</v>
      </c>
      <c r="E135" s="5"/>
      <c r="F135" s="5"/>
      <c r="G135" s="5"/>
      <c r="H135" s="8" t="str">
        <f t="shared" si="1"/>
        <v/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</row>
    <row r="136" ht="15.75" customHeight="1">
      <c r="A136" s="5" t="s">
        <v>27</v>
      </c>
      <c r="B136" s="5" t="s">
        <v>12</v>
      </c>
      <c r="C136" s="5" t="s">
        <v>23</v>
      </c>
      <c r="D136" s="5">
        <v>297300.0</v>
      </c>
      <c r="E136" s="5"/>
      <c r="F136" s="5"/>
      <c r="G136" s="5"/>
      <c r="H136" s="8" t="str">
        <f t="shared" si="1"/>
        <v/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</row>
    <row r="137" ht="15.75" customHeight="1">
      <c r="A137" s="5" t="s">
        <v>27</v>
      </c>
      <c r="B137" s="5" t="s">
        <v>14</v>
      </c>
      <c r="C137" s="5" t="s">
        <v>23</v>
      </c>
      <c r="D137" s="5">
        <v>294027.0</v>
      </c>
      <c r="E137" s="5"/>
      <c r="F137" s="5">
        <v>291917.9</v>
      </c>
      <c r="G137" s="7">
        <f t="shared" ref="G137:G138" si="23">1-(F137/D137)</f>
        <v>0.007173150765</v>
      </c>
      <c r="H137" s="8" t="str">
        <f t="shared" si="1"/>
        <v>Above Forecast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</row>
    <row r="138" ht="15.75" customHeight="1">
      <c r="A138" s="5" t="s">
        <v>27</v>
      </c>
      <c r="B138" s="5" t="s">
        <v>15</v>
      </c>
      <c r="C138" s="5" t="s">
        <v>23</v>
      </c>
      <c r="D138" s="5">
        <v>305621.0</v>
      </c>
      <c r="E138" s="5"/>
      <c r="F138" s="5">
        <v>287534.1</v>
      </c>
      <c r="G138" s="7">
        <f t="shared" si="23"/>
        <v>0.05918081545</v>
      </c>
      <c r="H138" s="8" t="str">
        <f t="shared" si="1"/>
        <v>Above Forecast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</row>
    <row r="139" ht="15.75" customHeight="1">
      <c r="A139" s="5" t="s">
        <v>27</v>
      </c>
      <c r="B139" s="5" t="s">
        <v>16</v>
      </c>
      <c r="C139" s="5" t="s">
        <v>23</v>
      </c>
      <c r="D139" s="5">
        <v>302509.0</v>
      </c>
      <c r="E139" s="5"/>
      <c r="F139" s="5"/>
      <c r="G139" s="5"/>
      <c r="H139" s="8" t="str">
        <f t="shared" si="1"/>
        <v/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</row>
    <row r="140" ht="15.75" customHeight="1">
      <c r="A140" s="5" t="s">
        <v>27</v>
      </c>
      <c r="B140" s="5" t="s">
        <v>17</v>
      </c>
      <c r="C140" s="5" t="s">
        <v>23</v>
      </c>
      <c r="D140" s="5">
        <v>301123.0</v>
      </c>
      <c r="E140" s="5"/>
      <c r="F140" s="5">
        <v>287582.89999999997</v>
      </c>
      <c r="G140" s="7">
        <f t="shared" ref="G140:G142" si="24">1-(F140/D140)</f>
        <v>0.04496534639</v>
      </c>
      <c r="H140" s="8" t="str">
        <f t="shared" si="1"/>
        <v>Above Forecast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</row>
    <row r="141" ht="15.75" customHeight="1">
      <c r="A141" s="5" t="s">
        <v>27</v>
      </c>
      <c r="B141" s="5" t="s">
        <v>18</v>
      </c>
      <c r="C141" s="5" t="s">
        <v>23</v>
      </c>
      <c r="D141" s="5">
        <v>295583.0</v>
      </c>
      <c r="E141" s="5"/>
      <c r="F141" s="5">
        <v>295683.6</v>
      </c>
      <c r="G141" s="7">
        <f t="shared" si="24"/>
        <v>-0.0003403443364</v>
      </c>
      <c r="H141" s="8" t="str">
        <f t="shared" si="1"/>
        <v>Below Forecast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</row>
    <row r="142" ht="15.75" customHeight="1">
      <c r="A142" s="5" t="s">
        <v>27</v>
      </c>
      <c r="B142" s="5" t="s">
        <v>19</v>
      </c>
      <c r="C142" s="5" t="s">
        <v>23</v>
      </c>
      <c r="D142" s="5">
        <v>289038.0</v>
      </c>
      <c r="E142" s="5"/>
      <c r="F142" s="5">
        <v>302934.3</v>
      </c>
      <c r="G142" s="7">
        <f t="shared" si="24"/>
        <v>-0.0480777614</v>
      </c>
      <c r="H142" s="8" t="str">
        <f t="shared" si="1"/>
        <v>Below Forecast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</row>
    <row r="143" ht="15.75" customHeight="1">
      <c r="A143" s="5" t="s">
        <v>27</v>
      </c>
      <c r="B143" s="5" t="s">
        <v>20</v>
      </c>
      <c r="C143" s="5" t="s">
        <v>23</v>
      </c>
      <c r="D143" s="5">
        <v>301402.0</v>
      </c>
      <c r="E143" s="5"/>
      <c r="F143" s="5"/>
      <c r="G143" s="5"/>
      <c r="H143" s="8" t="str">
        <f t="shared" si="1"/>
        <v/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</row>
    <row r="144" ht="15.75" customHeight="1">
      <c r="A144" s="5" t="s">
        <v>27</v>
      </c>
      <c r="B144" s="5" t="s">
        <v>21</v>
      </c>
      <c r="C144" s="5" t="s">
        <v>23</v>
      </c>
      <c r="D144" s="5">
        <v>303550.0</v>
      </c>
      <c r="E144" s="5"/>
      <c r="F144" s="5"/>
      <c r="G144" s="5"/>
      <c r="H144" s="8" t="str">
        <f t="shared" si="1"/>
        <v/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</row>
    <row r="145" ht="15.75" customHeight="1">
      <c r="A145" s="5" t="s">
        <v>27</v>
      </c>
      <c r="B145" s="5" t="s">
        <v>11</v>
      </c>
      <c r="C145" s="5" t="s">
        <v>23</v>
      </c>
      <c r="D145" s="5">
        <v>294817.0</v>
      </c>
      <c r="E145" s="5">
        <f>SUM(D134:D145)</f>
        <v>3581751</v>
      </c>
      <c r="F145" s="5"/>
      <c r="G145" s="5"/>
      <c r="H145" s="8" t="str">
        <f t="shared" si="1"/>
        <v/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</row>
    <row r="146" ht="15.75" customHeight="1">
      <c r="A146" s="5" t="s">
        <v>28</v>
      </c>
      <c r="B146" s="5" t="s">
        <v>8</v>
      </c>
      <c r="C146" s="5" t="s">
        <v>13</v>
      </c>
      <c r="D146" s="5">
        <v>851927.0</v>
      </c>
      <c r="E146" s="5"/>
      <c r="F146" s="5">
        <v>891113.7</v>
      </c>
      <c r="G146" s="7">
        <f>1-(F146/D146)</f>
        <v>-0.04599772046</v>
      </c>
      <c r="H146" s="8" t="str">
        <f t="shared" si="1"/>
        <v>Below Forecast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</row>
    <row r="147" ht="15.75" customHeight="1">
      <c r="A147" s="5" t="s">
        <v>28</v>
      </c>
      <c r="B147" s="5" t="s">
        <v>10</v>
      </c>
      <c r="C147" s="5" t="s">
        <v>13</v>
      </c>
      <c r="D147" s="5">
        <v>909530.0</v>
      </c>
      <c r="E147" s="5"/>
      <c r="F147" s="5"/>
      <c r="G147" s="5"/>
      <c r="H147" s="8" t="str">
        <f t="shared" si="1"/>
        <v/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</row>
    <row r="148" ht="15.75" customHeight="1">
      <c r="A148" s="5" t="s">
        <v>28</v>
      </c>
      <c r="B148" s="5" t="s">
        <v>12</v>
      </c>
      <c r="C148" s="5" t="s">
        <v>13</v>
      </c>
      <c r="D148" s="5">
        <v>885670.0</v>
      </c>
      <c r="E148" s="5"/>
      <c r="F148" s="5"/>
      <c r="G148" s="5"/>
      <c r="H148" s="8" t="str">
        <f t="shared" si="1"/>
        <v/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</row>
    <row r="149" ht="15.75" customHeight="1">
      <c r="A149" s="5" t="s">
        <v>28</v>
      </c>
      <c r="B149" s="5" t="s">
        <v>14</v>
      </c>
      <c r="C149" s="5" t="s">
        <v>13</v>
      </c>
      <c r="D149" s="5">
        <v>890640.0</v>
      </c>
      <c r="E149" s="5"/>
      <c r="F149" s="5">
        <v>889845.7000000001</v>
      </c>
      <c r="G149" s="7">
        <f t="shared" ref="G149:G150" si="25">1-(F149/D149)</f>
        <v>0.0008918305937</v>
      </c>
      <c r="H149" s="8" t="str">
        <f t="shared" si="1"/>
        <v>Above Forecast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</row>
    <row r="150" ht="15.75" customHeight="1">
      <c r="A150" s="5" t="s">
        <v>28</v>
      </c>
      <c r="B150" s="5" t="s">
        <v>15</v>
      </c>
      <c r="C150" s="5" t="s">
        <v>13</v>
      </c>
      <c r="D150" s="5">
        <v>863761.0</v>
      </c>
      <c r="E150" s="5"/>
      <c r="F150" s="5">
        <v>877225.3</v>
      </c>
      <c r="G150" s="7">
        <f t="shared" si="25"/>
        <v>-0.01558799251</v>
      </c>
      <c r="H150" s="8" t="str">
        <f t="shared" si="1"/>
        <v>Below Forecast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</row>
    <row r="151" ht="15.75" customHeight="1">
      <c r="A151" s="5" t="s">
        <v>28</v>
      </c>
      <c r="B151" s="5" t="s">
        <v>16</v>
      </c>
      <c r="C151" s="5" t="s">
        <v>13</v>
      </c>
      <c r="D151" s="5">
        <v>899428.0</v>
      </c>
      <c r="E151" s="5"/>
      <c r="F151" s="5"/>
      <c r="G151" s="5"/>
      <c r="H151" s="8" t="str">
        <f t="shared" si="1"/>
        <v/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</row>
    <row r="152" ht="15.75" customHeight="1">
      <c r="A152" s="5" t="s">
        <v>28</v>
      </c>
      <c r="B152" s="5" t="s">
        <v>17</v>
      </c>
      <c r="C152" s="5" t="s">
        <v>13</v>
      </c>
      <c r="D152" s="5">
        <v>909208.0</v>
      </c>
      <c r="E152" s="5"/>
      <c r="F152" s="5">
        <v>917344.9</v>
      </c>
      <c r="G152" s="7">
        <f t="shared" ref="G152:G154" si="26">1-(F152/D152)</f>
        <v>-0.008949437312</v>
      </c>
      <c r="H152" s="8" t="str">
        <f t="shared" si="1"/>
        <v>Below Forecast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</row>
    <row r="153" ht="15.75" customHeight="1">
      <c r="A153" s="5" t="s">
        <v>28</v>
      </c>
      <c r="B153" s="5" t="s">
        <v>18</v>
      </c>
      <c r="C153" s="5" t="s">
        <v>13</v>
      </c>
      <c r="D153" s="5">
        <v>869456.0</v>
      </c>
      <c r="E153" s="5"/>
      <c r="F153" s="5">
        <v>903970.1999999998</v>
      </c>
      <c r="G153" s="7">
        <f t="shared" si="26"/>
        <v>-0.03969631586</v>
      </c>
      <c r="H153" s="8" t="str">
        <f t="shared" si="1"/>
        <v>Below Forecast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</row>
    <row r="154" ht="15.75" customHeight="1">
      <c r="A154" s="5" t="s">
        <v>28</v>
      </c>
      <c r="B154" s="5" t="s">
        <v>19</v>
      </c>
      <c r="C154" s="5" t="s">
        <v>13</v>
      </c>
      <c r="D154" s="5">
        <v>857140.0</v>
      </c>
      <c r="E154" s="5"/>
      <c r="F154" s="5">
        <v>932043.7999999999</v>
      </c>
      <c r="G154" s="7">
        <f t="shared" si="26"/>
        <v>-0.08738805796</v>
      </c>
      <c r="H154" s="8" t="str">
        <f t="shared" si="1"/>
        <v>Below Forecast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</row>
    <row r="155" ht="15.75" customHeight="1">
      <c r="A155" s="5" t="s">
        <v>28</v>
      </c>
      <c r="B155" s="5" t="s">
        <v>20</v>
      </c>
      <c r="C155" s="5" t="s">
        <v>13</v>
      </c>
      <c r="D155" s="5">
        <v>875949.0</v>
      </c>
      <c r="E155" s="5"/>
      <c r="F155" s="5"/>
      <c r="G155" s="5"/>
      <c r="H155" s="8" t="str">
        <f t="shared" si="1"/>
        <v/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</row>
    <row r="156" ht="15.75" customHeight="1">
      <c r="A156" s="5" t="s">
        <v>28</v>
      </c>
      <c r="B156" s="5" t="s">
        <v>21</v>
      </c>
      <c r="C156" s="5" t="s">
        <v>13</v>
      </c>
      <c r="D156" s="5">
        <v>902138.0</v>
      </c>
      <c r="E156" s="5"/>
      <c r="F156" s="5"/>
      <c r="G156" s="5"/>
      <c r="H156" s="8" t="str">
        <f t="shared" si="1"/>
        <v/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</row>
    <row r="157" ht="15.75" customHeight="1">
      <c r="A157" s="5" t="s">
        <v>28</v>
      </c>
      <c r="B157" s="5" t="s">
        <v>11</v>
      </c>
      <c r="C157" s="5" t="s">
        <v>13</v>
      </c>
      <c r="D157" s="5">
        <v>863217.0</v>
      </c>
      <c r="E157" s="5">
        <f>SUM(D146:D157)</f>
        <v>10578064</v>
      </c>
      <c r="F157" s="5"/>
      <c r="G157" s="5"/>
      <c r="H157" s="8" t="str">
        <f t="shared" si="1"/>
        <v/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</row>
    <row r="158" ht="15.75" customHeight="1">
      <c r="A158" s="5" t="s">
        <v>28</v>
      </c>
      <c r="B158" s="5" t="s">
        <v>8</v>
      </c>
      <c r="C158" s="5" t="s">
        <v>22</v>
      </c>
      <c r="D158" s="5">
        <v>903331.0</v>
      </c>
      <c r="E158" s="5"/>
      <c r="F158" s="5">
        <v>885815.3999999999</v>
      </c>
      <c r="G158" s="7">
        <f>1-(F158/D158)</f>
        <v>0.01939001318</v>
      </c>
      <c r="H158" s="8" t="str">
        <f t="shared" si="1"/>
        <v>Above Forecast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</row>
    <row r="159" ht="15.75" customHeight="1">
      <c r="A159" s="5" t="s">
        <v>28</v>
      </c>
      <c r="B159" s="5" t="s">
        <v>10</v>
      </c>
      <c r="C159" s="5" t="s">
        <v>22</v>
      </c>
      <c r="D159" s="5">
        <v>871672.0</v>
      </c>
      <c r="E159" s="5"/>
      <c r="F159" s="5"/>
      <c r="G159" s="5"/>
      <c r="H159" s="8" t="str">
        <f t="shared" si="1"/>
        <v/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</row>
    <row r="160" ht="15.75" customHeight="1">
      <c r="A160" s="5" t="s">
        <v>28</v>
      </c>
      <c r="B160" s="5" t="s">
        <v>12</v>
      </c>
      <c r="C160" s="5" t="s">
        <v>22</v>
      </c>
      <c r="D160" s="5">
        <v>857158.0</v>
      </c>
      <c r="E160" s="5"/>
      <c r="F160" s="5"/>
      <c r="G160" s="5"/>
      <c r="H160" s="8" t="str">
        <f t="shared" si="1"/>
        <v/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</row>
    <row r="161" ht="15.75" customHeight="1">
      <c r="A161" s="5" t="s">
        <v>28</v>
      </c>
      <c r="B161" s="5" t="s">
        <v>14</v>
      </c>
      <c r="C161" s="5" t="s">
        <v>22</v>
      </c>
      <c r="D161" s="5">
        <v>854344.0</v>
      </c>
      <c r="E161" s="5"/>
      <c r="F161" s="5">
        <v>875433.8999999999</v>
      </c>
      <c r="G161" s="7">
        <f t="shared" ref="G161:G162" si="27">1-(F161/D161)</f>
        <v>-0.02468548969</v>
      </c>
      <c r="H161" s="8" t="str">
        <f t="shared" si="1"/>
        <v>Below Forecast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</row>
    <row r="162" ht="15.75" customHeight="1">
      <c r="A162" s="5" t="s">
        <v>28</v>
      </c>
      <c r="B162" s="5" t="s">
        <v>15</v>
      </c>
      <c r="C162" s="5" t="s">
        <v>22</v>
      </c>
      <c r="D162" s="5">
        <v>890419.0</v>
      </c>
      <c r="E162" s="5"/>
      <c r="F162" s="5">
        <v>911673.1000000001</v>
      </c>
      <c r="G162" s="7">
        <f t="shared" si="27"/>
        <v>-0.02386977367</v>
      </c>
      <c r="H162" s="8" t="str">
        <f t="shared" si="1"/>
        <v>Below Forecast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</row>
    <row r="163" ht="15.75" customHeight="1">
      <c r="A163" s="5" t="s">
        <v>28</v>
      </c>
      <c r="B163" s="5" t="s">
        <v>16</v>
      </c>
      <c r="C163" s="5" t="s">
        <v>22</v>
      </c>
      <c r="D163" s="5">
        <v>880011.0</v>
      </c>
      <c r="E163" s="5"/>
      <c r="F163" s="5"/>
      <c r="G163" s="5"/>
      <c r="H163" s="8" t="str">
        <f t="shared" si="1"/>
        <v/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</row>
    <row r="164" ht="15.75" customHeight="1">
      <c r="A164" s="5" t="s">
        <v>28</v>
      </c>
      <c r="B164" s="5" t="s">
        <v>17</v>
      </c>
      <c r="C164" s="5" t="s">
        <v>22</v>
      </c>
      <c r="D164" s="5">
        <v>871143.0</v>
      </c>
      <c r="E164" s="5"/>
      <c r="F164" s="5">
        <v>889471.7999999999</v>
      </c>
      <c r="G164" s="7">
        <f t="shared" ref="G164:G166" si="28">1-(F164/D164)</f>
        <v>-0.02103994407</v>
      </c>
      <c r="H164" s="8" t="str">
        <f t="shared" si="1"/>
        <v>Below Forecast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</row>
    <row r="165" ht="15.75" customHeight="1">
      <c r="A165" s="5" t="s">
        <v>28</v>
      </c>
      <c r="B165" s="5" t="s">
        <v>18</v>
      </c>
      <c r="C165" s="5" t="s">
        <v>22</v>
      </c>
      <c r="D165" s="5">
        <v>850196.0</v>
      </c>
      <c r="E165" s="5"/>
      <c r="F165" s="5">
        <v>897237.2999999999</v>
      </c>
      <c r="G165" s="7">
        <f t="shared" si="28"/>
        <v>-0.05532994745</v>
      </c>
      <c r="H165" s="8" t="str">
        <f t="shared" si="1"/>
        <v>Below Forecast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</row>
    <row r="166" ht="15.75" customHeight="1">
      <c r="A166" s="5" t="s">
        <v>28</v>
      </c>
      <c r="B166" s="5" t="s">
        <v>19</v>
      </c>
      <c r="C166" s="5" t="s">
        <v>22</v>
      </c>
      <c r="D166" s="5">
        <v>894142.0</v>
      </c>
      <c r="E166" s="5"/>
      <c r="F166" s="5">
        <v>876458.2</v>
      </c>
      <c r="G166" s="7">
        <f t="shared" si="28"/>
        <v>0.01977739554</v>
      </c>
      <c r="H166" s="8" t="str">
        <f t="shared" si="1"/>
        <v>Above Forecast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</row>
    <row r="167" ht="15.75" customHeight="1">
      <c r="A167" s="5" t="s">
        <v>28</v>
      </c>
      <c r="B167" s="5" t="s">
        <v>20</v>
      </c>
      <c r="C167" s="5" t="s">
        <v>22</v>
      </c>
      <c r="D167" s="5">
        <v>866687.0</v>
      </c>
      <c r="E167" s="5"/>
      <c r="F167" s="5"/>
      <c r="G167" s="5"/>
      <c r="H167" s="8" t="str">
        <f t="shared" si="1"/>
        <v/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</row>
    <row r="168" ht="15.75" customHeight="1">
      <c r="A168" s="5" t="s">
        <v>28</v>
      </c>
      <c r="B168" s="5" t="s">
        <v>21</v>
      </c>
      <c r="C168" s="5" t="s">
        <v>22</v>
      </c>
      <c r="D168" s="5">
        <v>869816.0</v>
      </c>
      <c r="E168" s="5"/>
      <c r="F168" s="5"/>
      <c r="G168" s="5"/>
      <c r="H168" s="8" t="str">
        <f t="shared" si="1"/>
        <v/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</row>
    <row r="169" ht="15.75" customHeight="1">
      <c r="A169" s="5" t="s">
        <v>28</v>
      </c>
      <c r="B169" s="5" t="s">
        <v>11</v>
      </c>
      <c r="C169" s="5" t="s">
        <v>22</v>
      </c>
      <c r="D169" s="5">
        <v>906123.0</v>
      </c>
      <c r="E169" s="5">
        <f>SUM(D158:D169)</f>
        <v>10515042</v>
      </c>
      <c r="F169" s="5"/>
      <c r="G169" s="5"/>
      <c r="H169" s="8" t="str">
        <f t="shared" si="1"/>
        <v/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</row>
    <row r="170" ht="15.75" customHeight="1">
      <c r="A170" s="5" t="s">
        <v>28</v>
      </c>
      <c r="B170" s="5" t="s">
        <v>8</v>
      </c>
      <c r="C170" s="5" t="s">
        <v>23</v>
      </c>
      <c r="D170" s="5">
        <v>866931.0</v>
      </c>
      <c r="E170" s="5"/>
      <c r="F170" s="5">
        <v>864995.1</v>
      </c>
      <c r="G170" s="7">
        <f>1-(F170/D170)</f>
        <v>0.002233049689</v>
      </c>
      <c r="H170" s="8" t="str">
        <f t="shared" si="1"/>
        <v>Above Forecast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</row>
    <row r="171" ht="15.75" customHeight="1">
      <c r="A171" s="5" t="s">
        <v>28</v>
      </c>
      <c r="B171" s="5" t="s">
        <v>10</v>
      </c>
      <c r="C171" s="5" t="s">
        <v>23</v>
      </c>
      <c r="D171" s="5">
        <v>902188.0</v>
      </c>
      <c r="E171" s="5"/>
      <c r="F171" s="5"/>
      <c r="G171" s="5"/>
      <c r="H171" s="8" t="str">
        <f t="shared" si="1"/>
        <v/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</row>
    <row r="172" ht="15.75" customHeight="1">
      <c r="A172" s="5" t="s">
        <v>28</v>
      </c>
      <c r="B172" s="5" t="s">
        <v>12</v>
      </c>
      <c r="C172" s="5" t="s">
        <v>23</v>
      </c>
      <c r="D172" s="5">
        <v>893124.0</v>
      </c>
      <c r="E172" s="5"/>
      <c r="F172" s="5"/>
      <c r="G172" s="5"/>
      <c r="H172" s="8" t="str">
        <f t="shared" si="1"/>
        <v/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</row>
    <row r="173" ht="15.75" customHeight="1">
      <c r="A173" s="5" t="s">
        <v>28</v>
      </c>
      <c r="B173" s="5" t="s">
        <v>14</v>
      </c>
      <c r="C173" s="5" t="s">
        <v>23</v>
      </c>
      <c r="D173" s="5">
        <v>906480.0</v>
      </c>
      <c r="E173" s="5"/>
      <c r="F173" s="5">
        <v>859840.6</v>
      </c>
      <c r="G173" s="7">
        <f t="shared" ref="G173:G174" si="29">1-(F173/D173)</f>
        <v>0.05145110758</v>
      </c>
      <c r="H173" s="8" t="str">
        <f t="shared" si="1"/>
        <v>Above Forecast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</row>
    <row r="174" ht="15.75" customHeight="1">
      <c r="A174" s="5" t="s">
        <v>28</v>
      </c>
      <c r="B174" s="5" t="s">
        <v>15</v>
      </c>
      <c r="C174" s="5" t="s">
        <v>23</v>
      </c>
      <c r="D174" s="5">
        <v>876691.0</v>
      </c>
      <c r="E174" s="5"/>
      <c r="F174" s="5">
        <v>908641.3999999999</v>
      </c>
      <c r="G174" s="7">
        <f t="shared" si="29"/>
        <v>-0.03644431162</v>
      </c>
      <c r="H174" s="8" t="str">
        <f t="shared" si="1"/>
        <v>Below Forecast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</row>
    <row r="175" ht="15.75" customHeight="1">
      <c r="A175" s="5" t="s">
        <v>28</v>
      </c>
      <c r="B175" s="5" t="s">
        <v>16</v>
      </c>
      <c r="C175" s="5" t="s">
        <v>23</v>
      </c>
      <c r="D175" s="5">
        <v>855091.0</v>
      </c>
      <c r="E175" s="5"/>
      <c r="F175" s="5"/>
      <c r="G175" s="5"/>
      <c r="H175" s="8" t="str">
        <f t="shared" si="1"/>
        <v/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</row>
    <row r="176" ht="15.75" customHeight="1">
      <c r="A176" s="5" t="s">
        <v>28</v>
      </c>
      <c r="B176" s="5" t="s">
        <v>17</v>
      </c>
      <c r="C176" s="5" t="s">
        <v>23</v>
      </c>
      <c r="D176" s="5">
        <v>878958.0</v>
      </c>
      <c r="E176" s="5"/>
      <c r="F176" s="5">
        <v>882950.6</v>
      </c>
      <c r="G176" s="7">
        <f t="shared" ref="G176:G178" si="30">1-(F176/D176)</f>
        <v>-0.004542424098</v>
      </c>
      <c r="H176" s="8" t="str">
        <f t="shared" si="1"/>
        <v>Below Forecast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</row>
    <row r="177" ht="15.75" customHeight="1">
      <c r="A177" s="5" t="s">
        <v>28</v>
      </c>
      <c r="B177" s="5" t="s">
        <v>18</v>
      </c>
      <c r="C177" s="5" t="s">
        <v>23</v>
      </c>
      <c r="D177" s="5">
        <v>855472.0</v>
      </c>
      <c r="E177" s="5"/>
      <c r="F177" s="5">
        <v>866952.3</v>
      </c>
      <c r="G177" s="7">
        <f t="shared" si="30"/>
        <v>-0.01341984308</v>
      </c>
      <c r="H177" s="8" t="str">
        <f t="shared" si="1"/>
        <v>Below Forecast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</row>
    <row r="178" ht="15.75" customHeight="1">
      <c r="A178" s="5" t="s">
        <v>28</v>
      </c>
      <c r="B178" s="5" t="s">
        <v>19</v>
      </c>
      <c r="C178" s="5" t="s">
        <v>23</v>
      </c>
      <c r="D178" s="5">
        <v>876014.0</v>
      </c>
      <c r="E178" s="5"/>
      <c r="F178" s="5">
        <v>903430.9</v>
      </c>
      <c r="G178" s="7">
        <f t="shared" si="30"/>
        <v>-0.03129733086</v>
      </c>
      <c r="H178" s="8" t="str">
        <f t="shared" si="1"/>
        <v>Below Forecast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</row>
    <row r="179" ht="15.75" customHeight="1">
      <c r="A179" s="5" t="s">
        <v>28</v>
      </c>
      <c r="B179" s="5" t="s">
        <v>20</v>
      </c>
      <c r="C179" s="5" t="s">
        <v>23</v>
      </c>
      <c r="D179" s="5">
        <v>903611.0</v>
      </c>
      <c r="E179" s="5"/>
      <c r="F179" s="5"/>
      <c r="G179" s="5"/>
      <c r="H179" s="8" t="str">
        <f t="shared" si="1"/>
        <v/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</row>
    <row r="180" ht="15.75" customHeight="1">
      <c r="A180" s="5" t="s">
        <v>28</v>
      </c>
      <c r="B180" s="5" t="s">
        <v>21</v>
      </c>
      <c r="C180" s="5" t="s">
        <v>23</v>
      </c>
      <c r="D180" s="5">
        <v>875085.0</v>
      </c>
      <c r="E180" s="5"/>
      <c r="F180" s="5"/>
      <c r="G180" s="5"/>
      <c r="H180" s="8" t="str">
        <f t="shared" si="1"/>
        <v/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</row>
    <row r="181" ht="15.75" customHeight="1">
      <c r="A181" s="5" t="s">
        <v>28</v>
      </c>
      <c r="B181" s="5" t="s">
        <v>11</v>
      </c>
      <c r="C181" s="5" t="s">
        <v>23</v>
      </c>
      <c r="D181" s="5">
        <v>907398.0</v>
      </c>
      <c r="E181" s="5">
        <f>SUM(D170:D181)</f>
        <v>10597043</v>
      </c>
      <c r="F181" s="5"/>
      <c r="G181" s="5"/>
      <c r="H181" s="8" t="str">
        <f t="shared" si="1"/>
        <v/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</row>
    <row r="182" ht="15.75" customHeight="1">
      <c r="A182" s="5" t="s">
        <v>29</v>
      </c>
      <c r="B182" s="5" t="s">
        <v>8</v>
      </c>
      <c r="C182" s="5" t="s">
        <v>13</v>
      </c>
      <c r="D182" s="5">
        <v>30083.0</v>
      </c>
      <c r="E182" s="5"/>
      <c r="F182" s="5">
        <v>30277.6</v>
      </c>
      <c r="G182" s="7">
        <f>1-(F182/D182)</f>
        <v>-0.006468769737</v>
      </c>
      <c r="H182" s="8" t="str">
        <f t="shared" si="1"/>
        <v>Below Forecast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</row>
    <row r="183" ht="15.75" customHeight="1">
      <c r="A183" s="5" t="s">
        <v>29</v>
      </c>
      <c r="B183" s="5" t="s">
        <v>10</v>
      </c>
      <c r="C183" s="5" t="s">
        <v>13</v>
      </c>
      <c r="D183" s="5">
        <v>31266.0</v>
      </c>
      <c r="E183" s="5"/>
      <c r="F183" s="5"/>
      <c r="G183" s="5"/>
      <c r="H183" s="8" t="str">
        <f t="shared" si="1"/>
        <v/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</row>
    <row r="184" ht="15.75" customHeight="1">
      <c r="A184" s="5" t="s">
        <v>29</v>
      </c>
      <c r="B184" s="5" t="s">
        <v>12</v>
      </c>
      <c r="C184" s="5" t="s">
        <v>13</v>
      </c>
      <c r="D184" s="5">
        <v>31003.0</v>
      </c>
      <c r="E184" s="5"/>
      <c r="F184" s="5"/>
      <c r="G184" s="5"/>
      <c r="H184" s="8" t="str">
        <f t="shared" si="1"/>
        <v/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</row>
    <row r="185" ht="15.75" customHeight="1">
      <c r="A185" s="5" t="s">
        <v>29</v>
      </c>
      <c r="B185" s="5" t="s">
        <v>14</v>
      </c>
      <c r="C185" s="5" t="s">
        <v>13</v>
      </c>
      <c r="D185" s="5">
        <v>31081.0</v>
      </c>
      <c r="E185" s="5"/>
      <c r="F185" s="5">
        <v>29657.7</v>
      </c>
      <c r="G185" s="7">
        <f t="shared" ref="G185:G186" si="31">1-(F185/D185)</f>
        <v>0.0457932499</v>
      </c>
      <c r="H185" s="8" t="str">
        <f t="shared" si="1"/>
        <v>Above Forecast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</row>
    <row r="186" ht="15.75" customHeight="1">
      <c r="A186" s="5" t="s">
        <v>29</v>
      </c>
      <c r="B186" s="5" t="s">
        <v>15</v>
      </c>
      <c r="C186" s="5" t="s">
        <v>13</v>
      </c>
      <c r="D186" s="5">
        <v>33174.0</v>
      </c>
      <c r="E186" s="5"/>
      <c r="F186" s="5">
        <v>30857.5</v>
      </c>
      <c r="G186" s="7">
        <f t="shared" si="31"/>
        <v>0.06982878158</v>
      </c>
      <c r="H186" s="8" t="str">
        <f t="shared" si="1"/>
        <v>Above Forecast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</row>
    <row r="187" ht="15.75" customHeight="1">
      <c r="A187" s="5" t="s">
        <v>29</v>
      </c>
      <c r="B187" s="5" t="s">
        <v>16</v>
      </c>
      <c r="C187" s="5" t="s">
        <v>13</v>
      </c>
      <c r="D187" s="5">
        <v>34025.0</v>
      </c>
      <c r="E187" s="5"/>
      <c r="F187" s="5"/>
      <c r="G187" s="5"/>
      <c r="H187" s="8" t="str">
        <f t="shared" si="1"/>
        <v/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</row>
    <row r="188" ht="15.75" customHeight="1">
      <c r="A188" s="5" t="s">
        <v>29</v>
      </c>
      <c r="B188" s="5" t="s">
        <v>17</v>
      </c>
      <c r="C188" s="5" t="s">
        <v>13</v>
      </c>
      <c r="D188" s="5">
        <v>28239.0</v>
      </c>
      <c r="E188" s="5"/>
      <c r="F188" s="5">
        <v>32222.8</v>
      </c>
      <c r="G188" s="7">
        <f t="shared" ref="G188:G190" si="32">1-(F188/D188)</f>
        <v>-0.1410744007</v>
      </c>
      <c r="H188" s="8" t="str">
        <f t="shared" si="1"/>
        <v>Below Forecast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</row>
    <row r="189" ht="15.75" customHeight="1">
      <c r="A189" s="5" t="s">
        <v>29</v>
      </c>
      <c r="B189" s="5" t="s">
        <v>18</v>
      </c>
      <c r="C189" s="5" t="s">
        <v>13</v>
      </c>
      <c r="D189" s="5">
        <v>29141.0</v>
      </c>
      <c r="E189" s="5"/>
      <c r="F189" s="5">
        <v>30574.5</v>
      </c>
      <c r="G189" s="7">
        <f t="shared" si="32"/>
        <v>-0.04919186027</v>
      </c>
      <c r="H189" s="8" t="str">
        <f t="shared" si="1"/>
        <v>Below Forecast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</row>
    <row r="190" ht="15.75" customHeight="1">
      <c r="A190" s="5" t="s">
        <v>29</v>
      </c>
      <c r="B190" s="5" t="s">
        <v>19</v>
      </c>
      <c r="C190" s="5" t="s">
        <v>13</v>
      </c>
      <c r="D190" s="5">
        <v>31812.0</v>
      </c>
      <c r="E190" s="5"/>
      <c r="F190" s="5">
        <v>32178.1</v>
      </c>
      <c r="G190" s="7">
        <f t="shared" si="32"/>
        <v>-0.01150823589</v>
      </c>
      <c r="H190" s="8" t="str">
        <f t="shared" si="1"/>
        <v>Below Forecast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</row>
    <row r="191" ht="15.75" customHeight="1">
      <c r="A191" s="5" t="s">
        <v>29</v>
      </c>
      <c r="B191" s="5" t="s">
        <v>20</v>
      </c>
      <c r="C191" s="5" t="s">
        <v>13</v>
      </c>
      <c r="D191" s="5">
        <v>27076.0</v>
      </c>
      <c r="E191" s="5"/>
      <c r="F191" s="5"/>
      <c r="G191" s="5"/>
      <c r="H191" s="8" t="str">
        <f t="shared" si="1"/>
        <v/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</row>
    <row r="192" ht="15.75" customHeight="1">
      <c r="A192" s="5" t="s">
        <v>29</v>
      </c>
      <c r="B192" s="5" t="s">
        <v>21</v>
      </c>
      <c r="C192" s="5" t="s">
        <v>13</v>
      </c>
      <c r="D192" s="5">
        <v>32940.0</v>
      </c>
      <c r="E192" s="5"/>
      <c r="F192" s="5"/>
      <c r="G192" s="5"/>
      <c r="H192" s="8" t="str">
        <f t="shared" si="1"/>
        <v/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</row>
    <row r="193" ht="15.75" customHeight="1">
      <c r="A193" s="5" t="s">
        <v>29</v>
      </c>
      <c r="B193" s="5" t="s">
        <v>11</v>
      </c>
      <c r="C193" s="5" t="s">
        <v>13</v>
      </c>
      <c r="D193" s="5">
        <v>30915.0</v>
      </c>
      <c r="E193" s="5">
        <f>SUM(D182:D193)</f>
        <v>370755</v>
      </c>
      <c r="F193" s="5"/>
      <c r="G193" s="5"/>
      <c r="H193" s="8" t="str">
        <f t="shared" si="1"/>
        <v/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</row>
    <row r="194" ht="15.75" customHeight="1">
      <c r="A194" s="5" t="s">
        <v>29</v>
      </c>
      <c r="B194" s="5" t="s">
        <v>8</v>
      </c>
      <c r="C194" s="5" t="s">
        <v>22</v>
      </c>
      <c r="D194" s="5">
        <v>31682.0</v>
      </c>
      <c r="E194" s="5"/>
      <c r="F194" s="5">
        <v>30207.1</v>
      </c>
      <c r="G194" s="7">
        <f>1-(F194/D194)</f>
        <v>0.0465532479</v>
      </c>
      <c r="H194" s="8" t="str">
        <f t="shared" si="1"/>
        <v>Above Forecast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</row>
    <row r="195" ht="15.75" customHeight="1">
      <c r="A195" s="5" t="s">
        <v>29</v>
      </c>
      <c r="B195" s="5" t="s">
        <v>10</v>
      </c>
      <c r="C195" s="5" t="s">
        <v>22</v>
      </c>
      <c r="D195" s="5">
        <v>28907.0</v>
      </c>
      <c r="E195" s="5"/>
      <c r="F195" s="5"/>
      <c r="G195" s="5"/>
      <c r="H195" s="8" t="str">
        <f t="shared" si="1"/>
        <v/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</row>
    <row r="196" ht="15.75" customHeight="1">
      <c r="A196" s="5" t="s">
        <v>29</v>
      </c>
      <c r="B196" s="5" t="s">
        <v>12</v>
      </c>
      <c r="C196" s="5" t="s">
        <v>22</v>
      </c>
      <c r="D196" s="5">
        <v>29774.0</v>
      </c>
      <c r="E196" s="5"/>
      <c r="F196" s="5"/>
      <c r="G196" s="5"/>
      <c r="H196" s="8" t="str">
        <f t="shared" si="1"/>
        <v/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</row>
    <row r="197" ht="15.75" customHeight="1">
      <c r="A197" s="5" t="s">
        <v>29</v>
      </c>
      <c r="B197" s="5" t="s">
        <v>14</v>
      </c>
      <c r="C197" s="5" t="s">
        <v>22</v>
      </c>
      <c r="D197" s="5">
        <v>29591.0</v>
      </c>
      <c r="E197" s="5"/>
      <c r="F197" s="5">
        <v>33063.3</v>
      </c>
      <c r="G197" s="7">
        <f t="shared" ref="G197:G198" si="33">1-(F197/D197)</f>
        <v>-0.1173431111</v>
      </c>
      <c r="H197" s="8" t="str">
        <f t="shared" si="1"/>
        <v>Below Forecast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</row>
    <row r="198" ht="15.75" customHeight="1">
      <c r="A198" s="5" t="s">
        <v>29</v>
      </c>
      <c r="B198" s="5" t="s">
        <v>15</v>
      </c>
      <c r="C198" s="5" t="s">
        <v>22</v>
      </c>
      <c r="D198" s="5">
        <v>29618.0</v>
      </c>
      <c r="E198" s="5"/>
      <c r="F198" s="5">
        <v>31901.399999999998</v>
      </c>
      <c r="G198" s="7">
        <f t="shared" si="33"/>
        <v>-0.07709500979</v>
      </c>
      <c r="H198" s="8" t="str">
        <f t="shared" si="1"/>
        <v>Below Forecast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</row>
    <row r="199" ht="15.75" customHeight="1">
      <c r="A199" s="5" t="s">
        <v>29</v>
      </c>
      <c r="B199" s="5" t="s">
        <v>16</v>
      </c>
      <c r="C199" s="5" t="s">
        <v>22</v>
      </c>
      <c r="D199" s="5">
        <v>28950.0</v>
      </c>
      <c r="E199" s="5"/>
      <c r="F199" s="5"/>
      <c r="G199" s="5"/>
      <c r="H199" s="8" t="str">
        <f t="shared" si="1"/>
        <v/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</row>
    <row r="200" ht="15.75" customHeight="1">
      <c r="A200" s="5" t="s">
        <v>29</v>
      </c>
      <c r="B200" s="5" t="s">
        <v>17</v>
      </c>
      <c r="C200" s="5" t="s">
        <v>22</v>
      </c>
      <c r="D200" s="5">
        <v>30878.0</v>
      </c>
      <c r="E200" s="5"/>
      <c r="F200" s="5">
        <v>29723.1</v>
      </c>
      <c r="G200" s="7">
        <f t="shared" ref="G200:G202" si="34">1-(F200/D200)</f>
        <v>0.03740203381</v>
      </c>
      <c r="H200" s="8" t="str">
        <f t="shared" si="1"/>
        <v>Above Forecast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</row>
    <row r="201" ht="15.75" customHeight="1">
      <c r="A201" s="5" t="s">
        <v>29</v>
      </c>
      <c r="B201" s="5" t="s">
        <v>18</v>
      </c>
      <c r="C201" s="5" t="s">
        <v>22</v>
      </c>
      <c r="D201" s="5">
        <v>28166.0</v>
      </c>
      <c r="E201" s="5"/>
      <c r="F201" s="5">
        <v>30631.7</v>
      </c>
      <c r="G201" s="7">
        <f t="shared" si="34"/>
        <v>-0.08754171696</v>
      </c>
      <c r="H201" s="8" t="str">
        <f t="shared" si="1"/>
        <v>Below Forecast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</row>
    <row r="202" ht="15.75" customHeight="1">
      <c r="A202" s="5" t="s">
        <v>29</v>
      </c>
      <c r="B202" s="5" t="s">
        <v>19</v>
      </c>
      <c r="C202" s="5" t="s">
        <v>22</v>
      </c>
      <c r="D202" s="5">
        <v>33965.0</v>
      </c>
      <c r="E202" s="5"/>
      <c r="F202" s="5">
        <v>31567.199999999997</v>
      </c>
      <c r="G202" s="7">
        <f t="shared" si="34"/>
        <v>0.07059620197</v>
      </c>
      <c r="H202" s="8" t="str">
        <f t="shared" si="1"/>
        <v>Above Forecast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</row>
    <row r="203" ht="15.75" customHeight="1">
      <c r="A203" s="5" t="s">
        <v>29</v>
      </c>
      <c r="B203" s="5" t="s">
        <v>20</v>
      </c>
      <c r="C203" s="5" t="s">
        <v>22</v>
      </c>
      <c r="D203" s="5">
        <v>31760.0</v>
      </c>
      <c r="E203" s="5"/>
      <c r="F203" s="5"/>
      <c r="G203" s="5"/>
      <c r="H203" s="8" t="str">
        <f t="shared" si="1"/>
        <v/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</row>
    <row r="204" ht="15.75" customHeight="1">
      <c r="A204" s="5" t="s">
        <v>29</v>
      </c>
      <c r="B204" s="5" t="s">
        <v>21</v>
      </c>
      <c r="C204" s="5" t="s">
        <v>22</v>
      </c>
      <c r="D204" s="5">
        <v>32467.0</v>
      </c>
      <c r="E204" s="5"/>
      <c r="F204" s="5"/>
      <c r="G204" s="5"/>
      <c r="H204" s="8" t="str">
        <f t="shared" si="1"/>
        <v/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</row>
    <row r="205" ht="15.75" customHeight="1">
      <c r="A205" s="5" t="s">
        <v>29</v>
      </c>
      <c r="B205" s="5" t="s">
        <v>11</v>
      </c>
      <c r="C205" s="5" t="s">
        <v>22</v>
      </c>
      <c r="D205" s="5">
        <v>27703.0</v>
      </c>
      <c r="E205" s="5">
        <f>SUM(D194:D205)</f>
        <v>363461</v>
      </c>
      <c r="F205" s="5"/>
      <c r="G205" s="5"/>
      <c r="H205" s="8" t="str">
        <f t="shared" si="1"/>
        <v/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</row>
    <row r="206" ht="15.75" customHeight="1">
      <c r="A206" s="5" t="s">
        <v>29</v>
      </c>
      <c r="B206" s="5" t="s">
        <v>8</v>
      </c>
      <c r="C206" s="5" t="s">
        <v>23</v>
      </c>
      <c r="D206" s="5">
        <v>32935.0</v>
      </c>
      <c r="E206" s="5"/>
      <c r="F206" s="5">
        <v>30303.199999999997</v>
      </c>
      <c r="G206" s="7">
        <f>1-(F206/D206)</f>
        <v>0.07990891149</v>
      </c>
      <c r="H206" s="8" t="str">
        <f t="shared" si="1"/>
        <v>Above Forecast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</row>
    <row r="207" ht="15.75" customHeight="1">
      <c r="A207" s="5" t="s">
        <v>29</v>
      </c>
      <c r="B207" s="5" t="s">
        <v>10</v>
      </c>
      <c r="C207" s="5" t="s">
        <v>23</v>
      </c>
      <c r="D207" s="5">
        <v>30054.0</v>
      </c>
      <c r="E207" s="5"/>
      <c r="F207" s="5"/>
      <c r="G207" s="5"/>
      <c r="H207" s="8" t="str">
        <f t="shared" si="1"/>
        <v/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</row>
    <row r="208" ht="15.75" customHeight="1">
      <c r="A208" s="5" t="s">
        <v>29</v>
      </c>
      <c r="B208" s="5" t="s">
        <v>12</v>
      </c>
      <c r="C208" s="5" t="s">
        <v>23</v>
      </c>
      <c r="D208" s="5">
        <v>28099.0</v>
      </c>
      <c r="E208" s="5"/>
      <c r="F208" s="5"/>
      <c r="G208" s="5"/>
      <c r="H208" s="8" t="str">
        <f t="shared" si="1"/>
        <v/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</row>
    <row r="209" ht="15.75" customHeight="1">
      <c r="A209" s="5" t="s">
        <v>29</v>
      </c>
      <c r="B209" s="5" t="s">
        <v>14</v>
      </c>
      <c r="C209" s="5" t="s">
        <v>23</v>
      </c>
      <c r="D209" s="5">
        <v>34307.0</v>
      </c>
      <c r="E209" s="5"/>
      <c r="F209" s="5">
        <v>31082.2</v>
      </c>
      <c r="G209" s="7">
        <f t="shared" ref="G209:G210" si="35">1-(F209/D209)</f>
        <v>0.09399830938</v>
      </c>
      <c r="H209" s="8" t="str">
        <f t="shared" si="1"/>
        <v>Above Forecast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</row>
    <row r="210" ht="15.75" customHeight="1">
      <c r="A210" s="5" t="s">
        <v>29</v>
      </c>
      <c r="B210" s="5" t="s">
        <v>15</v>
      </c>
      <c r="C210" s="5" t="s">
        <v>23</v>
      </c>
      <c r="D210" s="5">
        <v>31991.0</v>
      </c>
      <c r="E210" s="5"/>
      <c r="F210" s="5">
        <v>32133.0</v>
      </c>
      <c r="G210" s="7">
        <f t="shared" si="35"/>
        <v>-0.004438748398</v>
      </c>
      <c r="H210" s="8" t="str">
        <f t="shared" si="1"/>
        <v>Below Forecast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</row>
    <row r="211" ht="15.75" customHeight="1">
      <c r="A211" s="5" t="s">
        <v>29</v>
      </c>
      <c r="B211" s="5" t="s">
        <v>16</v>
      </c>
      <c r="C211" s="5" t="s">
        <v>23</v>
      </c>
      <c r="D211" s="5">
        <v>32173.0</v>
      </c>
      <c r="E211" s="5"/>
      <c r="F211" s="5"/>
      <c r="G211" s="5"/>
      <c r="H211" s="8" t="str">
        <f t="shared" si="1"/>
        <v/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</row>
    <row r="212" ht="15.75" customHeight="1">
      <c r="A212" s="5" t="s">
        <v>29</v>
      </c>
      <c r="B212" s="5" t="s">
        <v>17</v>
      </c>
      <c r="C212" s="5" t="s">
        <v>23</v>
      </c>
      <c r="D212" s="5">
        <v>29054.0</v>
      </c>
      <c r="E212" s="5"/>
      <c r="F212" s="5">
        <v>30709.000000000004</v>
      </c>
      <c r="G212" s="7">
        <f t="shared" ref="G212:G214" si="36">1-(F212/D212)</f>
        <v>-0.05696289668</v>
      </c>
      <c r="H212" s="8" t="str">
        <f t="shared" si="1"/>
        <v>Below Forecast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</row>
    <row r="213" ht="15.75" customHeight="1">
      <c r="A213" s="5" t="s">
        <v>29</v>
      </c>
      <c r="B213" s="5" t="s">
        <v>18</v>
      </c>
      <c r="C213" s="5" t="s">
        <v>23</v>
      </c>
      <c r="D213" s="5">
        <v>33147.0</v>
      </c>
      <c r="E213" s="5"/>
      <c r="F213" s="5">
        <v>31477.0</v>
      </c>
      <c r="G213" s="7">
        <f t="shared" si="36"/>
        <v>0.05038163333</v>
      </c>
      <c r="H213" s="8" t="str">
        <f t="shared" si="1"/>
        <v>Above Forecast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</row>
    <row r="214" ht="15.75" customHeight="1">
      <c r="A214" s="5" t="s">
        <v>29</v>
      </c>
      <c r="B214" s="5" t="s">
        <v>19</v>
      </c>
      <c r="C214" s="5" t="s">
        <v>23</v>
      </c>
      <c r="D214" s="5">
        <v>33350.0</v>
      </c>
      <c r="E214" s="5"/>
      <c r="F214" s="5">
        <v>30979.899999999998</v>
      </c>
      <c r="G214" s="7">
        <f t="shared" si="36"/>
        <v>0.07106746627</v>
      </c>
      <c r="H214" s="8" t="str">
        <f t="shared" si="1"/>
        <v>Above Forecast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</row>
    <row r="215" ht="15.75" customHeight="1">
      <c r="A215" s="5" t="s">
        <v>29</v>
      </c>
      <c r="B215" s="5" t="s">
        <v>20</v>
      </c>
      <c r="C215" s="5" t="s">
        <v>23</v>
      </c>
      <c r="D215" s="5">
        <v>32262.0</v>
      </c>
      <c r="E215" s="5"/>
      <c r="F215" s="5"/>
      <c r="G215" s="5"/>
      <c r="H215" s="8" t="str">
        <f t="shared" si="1"/>
        <v/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</row>
    <row r="216" ht="15.75" customHeight="1">
      <c r="A216" s="5" t="s">
        <v>29</v>
      </c>
      <c r="B216" s="5" t="s">
        <v>21</v>
      </c>
      <c r="C216" s="5" t="s">
        <v>23</v>
      </c>
      <c r="D216" s="5">
        <v>29680.0</v>
      </c>
      <c r="E216" s="5"/>
      <c r="F216" s="5"/>
      <c r="G216" s="5"/>
      <c r="H216" s="8" t="str">
        <f t="shared" si="1"/>
        <v/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</row>
    <row r="217" ht="15.75" customHeight="1">
      <c r="A217" s="5" t="s">
        <v>29</v>
      </c>
      <c r="B217" s="5" t="s">
        <v>11</v>
      </c>
      <c r="C217" s="5" t="s">
        <v>23</v>
      </c>
      <c r="D217" s="5">
        <v>29525.0</v>
      </c>
      <c r="E217" s="5">
        <f>SUM(D206:D217)</f>
        <v>376577</v>
      </c>
      <c r="F217" s="5"/>
      <c r="G217" s="5"/>
      <c r="H217" s="8" t="str">
        <f t="shared" si="1"/>
        <v/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</row>
    <row r="218" ht="15.75" customHeight="1">
      <c r="A218" s="5" t="s">
        <v>30</v>
      </c>
      <c r="B218" s="5" t="s">
        <v>8</v>
      </c>
      <c r="C218" s="5" t="s">
        <v>13</v>
      </c>
      <c r="D218" s="5">
        <v>281886.0</v>
      </c>
      <c r="E218" s="5"/>
      <c r="F218" s="5">
        <v>269137.6</v>
      </c>
      <c r="G218" s="7">
        <f>1-(F218/D218)</f>
        <v>0.0452253748</v>
      </c>
      <c r="H218" s="8" t="str">
        <f t="shared" si="1"/>
        <v>Above Forecast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</row>
    <row r="219" ht="15.75" customHeight="1">
      <c r="A219" s="5" t="s">
        <v>30</v>
      </c>
      <c r="B219" s="5" t="s">
        <v>10</v>
      </c>
      <c r="C219" s="5" t="s">
        <v>13</v>
      </c>
      <c r="D219" s="5">
        <v>285366.0</v>
      </c>
      <c r="E219" s="5"/>
      <c r="F219" s="5"/>
      <c r="G219" s="5"/>
      <c r="H219" s="8" t="str">
        <f t="shared" si="1"/>
        <v/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</row>
    <row r="220" ht="15.75" customHeight="1">
      <c r="A220" s="5" t="s">
        <v>30</v>
      </c>
      <c r="B220" s="5" t="s">
        <v>12</v>
      </c>
      <c r="C220" s="5" t="s">
        <v>13</v>
      </c>
      <c r="D220" s="5">
        <v>290881.0</v>
      </c>
      <c r="E220" s="5"/>
      <c r="F220" s="5"/>
      <c r="G220" s="5"/>
      <c r="H220" s="8" t="str">
        <f t="shared" si="1"/>
        <v/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</row>
    <row r="221" ht="15.75" customHeight="1">
      <c r="A221" s="5" t="s">
        <v>30</v>
      </c>
      <c r="B221" s="5" t="s">
        <v>14</v>
      </c>
      <c r="C221" s="5" t="s">
        <v>13</v>
      </c>
      <c r="D221" s="5">
        <v>271305.0</v>
      </c>
      <c r="E221" s="5"/>
      <c r="F221" s="5">
        <v>279301.19999999995</v>
      </c>
      <c r="G221" s="7">
        <f t="shared" ref="G221:G222" si="37">1-(F221/D221)</f>
        <v>-0.02947310223</v>
      </c>
      <c r="H221" s="8" t="str">
        <f t="shared" si="1"/>
        <v>Below Forecast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</row>
    <row r="222" ht="15.75" customHeight="1">
      <c r="A222" s="5" t="s">
        <v>30</v>
      </c>
      <c r="B222" s="5" t="s">
        <v>15</v>
      </c>
      <c r="C222" s="5" t="s">
        <v>13</v>
      </c>
      <c r="D222" s="5">
        <v>276554.0</v>
      </c>
      <c r="E222" s="5"/>
      <c r="F222" s="5">
        <v>293384.30000000005</v>
      </c>
      <c r="G222" s="7">
        <f t="shared" si="37"/>
        <v>-0.06085719245</v>
      </c>
      <c r="H222" s="8" t="str">
        <f t="shared" si="1"/>
        <v>Below Forecast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</row>
    <row r="223" ht="15.75" customHeight="1">
      <c r="A223" s="5" t="s">
        <v>30</v>
      </c>
      <c r="B223" s="5" t="s">
        <v>16</v>
      </c>
      <c r="C223" s="5" t="s">
        <v>13</v>
      </c>
      <c r="D223" s="5">
        <v>291294.0</v>
      </c>
      <c r="E223" s="5"/>
      <c r="F223" s="5"/>
      <c r="G223" s="5"/>
      <c r="H223" s="8" t="str">
        <f t="shared" si="1"/>
        <v/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</row>
    <row r="224" ht="15.75" customHeight="1">
      <c r="A224" s="5" t="s">
        <v>30</v>
      </c>
      <c r="B224" s="5" t="s">
        <v>17</v>
      </c>
      <c r="C224" s="5" t="s">
        <v>13</v>
      </c>
      <c r="D224" s="5">
        <v>282286.0</v>
      </c>
      <c r="E224" s="5"/>
      <c r="F224" s="5">
        <v>272397.39999999997</v>
      </c>
      <c r="G224" s="7">
        <f t="shared" ref="G224:G226" si="38">1-(F224/D224)</f>
        <v>0.03503043013</v>
      </c>
      <c r="H224" s="8" t="str">
        <f t="shared" si="1"/>
        <v>Above Forecast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</row>
    <row r="225" ht="15.75" customHeight="1">
      <c r="A225" s="5" t="s">
        <v>30</v>
      </c>
      <c r="B225" s="5" t="s">
        <v>18</v>
      </c>
      <c r="C225" s="5" t="s">
        <v>13</v>
      </c>
      <c r="D225" s="5">
        <v>291470.0</v>
      </c>
      <c r="E225" s="5"/>
      <c r="F225" s="5">
        <v>280424.5</v>
      </c>
      <c r="G225" s="7">
        <f t="shared" si="38"/>
        <v>0.03789583834</v>
      </c>
      <c r="H225" s="8" t="str">
        <f t="shared" si="1"/>
        <v>Above Forecast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</row>
    <row r="226" ht="15.75" customHeight="1">
      <c r="A226" s="5" t="s">
        <v>30</v>
      </c>
      <c r="B226" s="5" t="s">
        <v>19</v>
      </c>
      <c r="C226" s="5" t="s">
        <v>13</v>
      </c>
      <c r="D226" s="5">
        <v>271276.0</v>
      </c>
      <c r="E226" s="5"/>
      <c r="F226" s="5">
        <v>270755.4</v>
      </c>
      <c r="G226" s="7">
        <f t="shared" si="38"/>
        <v>0.001919078724</v>
      </c>
      <c r="H226" s="8" t="str">
        <f t="shared" si="1"/>
        <v>Above Forecast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</row>
    <row r="227" ht="15.75" customHeight="1">
      <c r="A227" s="5" t="s">
        <v>30</v>
      </c>
      <c r="B227" s="5" t="s">
        <v>20</v>
      </c>
      <c r="C227" s="5" t="s">
        <v>13</v>
      </c>
      <c r="D227" s="5">
        <v>298750.0</v>
      </c>
      <c r="E227" s="5"/>
      <c r="F227" s="5"/>
      <c r="G227" s="5"/>
      <c r="H227" s="8" t="str">
        <f t="shared" si="1"/>
        <v/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</row>
    <row r="228" ht="15.75" customHeight="1">
      <c r="A228" s="5" t="s">
        <v>30</v>
      </c>
      <c r="B228" s="5" t="s">
        <v>21</v>
      </c>
      <c r="C228" s="5" t="s">
        <v>13</v>
      </c>
      <c r="D228" s="5">
        <v>296342.0</v>
      </c>
      <c r="E228" s="5"/>
      <c r="F228" s="5"/>
      <c r="G228" s="5"/>
      <c r="H228" s="8" t="str">
        <f t="shared" si="1"/>
        <v/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</row>
    <row r="229" ht="15.75" customHeight="1">
      <c r="A229" s="5" t="s">
        <v>30</v>
      </c>
      <c r="B229" s="5" t="s">
        <v>11</v>
      </c>
      <c r="C229" s="5" t="s">
        <v>13</v>
      </c>
      <c r="D229" s="5">
        <v>295695.0</v>
      </c>
      <c r="E229" s="5">
        <f>SUM(D218:D229)</f>
        <v>3433105</v>
      </c>
      <c r="F229" s="5"/>
      <c r="G229" s="5"/>
      <c r="H229" s="8" t="str">
        <f t="shared" si="1"/>
        <v/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</row>
    <row r="230" ht="15.75" customHeight="1">
      <c r="A230" s="5" t="s">
        <v>30</v>
      </c>
      <c r="B230" s="5" t="s">
        <v>10</v>
      </c>
      <c r="C230" s="6" t="s">
        <v>31</v>
      </c>
      <c r="D230" s="5">
        <v>291317.0</v>
      </c>
      <c r="E230" s="5"/>
      <c r="F230" s="5"/>
      <c r="G230" s="5"/>
      <c r="H230" s="8" t="str">
        <f t="shared" si="1"/>
        <v/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</row>
    <row r="231" ht="15.75" customHeight="1">
      <c r="A231" s="5" t="s">
        <v>30</v>
      </c>
      <c r="B231" s="5" t="s">
        <v>8</v>
      </c>
      <c r="C231" s="5" t="s">
        <v>22</v>
      </c>
      <c r="D231" s="5">
        <v>304073.0</v>
      </c>
      <c r="E231" s="5"/>
      <c r="F231" s="5">
        <v>287561.49999999994</v>
      </c>
      <c r="G231" s="7">
        <f>1-(F231/D231)</f>
        <v>0.05430110533</v>
      </c>
      <c r="H231" s="8" t="str">
        <f t="shared" si="1"/>
        <v>Above Forecast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</row>
    <row r="232" ht="15.75" customHeight="1">
      <c r="A232" s="5" t="s">
        <v>30</v>
      </c>
      <c r="B232" s="5" t="s">
        <v>12</v>
      </c>
      <c r="C232" s="5" t="s">
        <v>22</v>
      </c>
      <c r="D232" s="5">
        <v>285763.0</v>
      </c>
      <c r="E232" s="5"/>
      <c r="F232" s="5"/>
      <c r="G232" s="5"/>
      <c r="H232" s="8" t="str">
        <f t="shared" si="1"/>
        <v/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</row>
    <row r="233" ht="15.75" customHeight="1">
      <c r="A233" s="5" t="s">
        <v>30</v>
      </c>
      <c r="B233" s="5" t="s">
        <v>14</v>
      </c>
      <c r="C233" s="5" t="s">
        <v>22</v>
      </c>
      <c r="D233" s="5">
        <v>281191.0</v>
      </c>
      <c r="E233" s="5"/>
      <c r="F233" s="5">
        <v>291567.6</v>
      </c>
      <c r="G233" s="7">
        <f t="shared" ref="G233:G234" si="39">1-(F233/D233)</f>
        <v>-0.03690231906</v>
      </c>
      <c r="H233" s="8" t="str">
        <f t="shared" si="1"/>
        <v>Below Forecast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</row>
    <row r="234" ht="15.75" customHeight="1">
      <c r="A234" s="5" t="s">
        <v>30</v>
      </c>
      <c r="B234" s="5" t="s">
        <v>15</v>
      </c>
      <c r="C234" s="5" t="s">
        <v>22</v>
      </c>
      <c r="D234" s="5">
        <v>286308.0</v>
      </c>
      <c r="E234" s="5"/>
      <c r="F234" s="5">
        <v>291992.4</v>
      </c>
      <c r="G234" s="7">
        <f t="shared" si="39"/>
        <v>-0.01985414309</v>
      </c>
      <c r="H234" s="8" t="str">
        <f t="shared" si="1"/>
        <v>Below Forecast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</row>
    <row r="235" ht="15.75" customHeight="1">
      <c r="A235" s="5" t="s">
        <v>30</v>
      </c>
      <c r="B235" s="5" t="s">
        <v>16</v>
      </c>
      <c r="C235" s="5" t="s">
        <v>22</v>
      </c>
      <c r="D235" s="5">
        <v>277777.0</v>
      </c>
      <c r="E235" s="5"/>
      <c r="F235" s="5"/>
      <c r="G235" s="5"/>
      <c r="H235" s="8" t="str">
        <f t="shared" si="1"/>
        <v/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</row>
    <row r="236" ht="15.75" customHeight="1">
      <c r="A236" s="5" t="s">
        <v>30</v>
      </c>
      <c r="B236" s="5" t="s">
        <v>17</v>
      </c>
      <c r="C236" s="5" t="s">
        <v>22</v>
      </c>
      <c r="D236" s="5">
        <v>298691.0</v>
      </c>
      <c r="E236" s="5"/>
      <c r="F236" s="5">
        <v>293138.29999999993</v>
      </c>
      <c r="G236" s="7">
        <f t="shared" ref="G236:G238" si="40">1-(F236/D236)</f>
        <v>0.01859011487</v>
      </c>
      <c r="H236" s="8" t="str">
        <f t="shared" si="1"/>
        <v>Above Forecast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</row>
    <row r="237" ht="15.75" customHeight="1">
      <c r="A237" s="5" t="s">
        <v>30</v>
      </c>
      <c r="B237" s="5" t="s">
        <v>18</v>
      </c>
      <c r="C237" s="5" t="s">
        <v>22</v>
      </c>
      <c r="D237" s="5">
        <v>290828.0</v>
      </c>
      <c r="E237" s="5"/>
      <c r="F237" s="5">
        <v>275805.39999999997</v>
      </c>
      <c r="G237" s="7">
        <f t="shared" si="40"/>
        <v>0.05165458622</v>
      </c>
      <c r="H237" s="8" t="str">
        <f t="shared" si="1"/>
        <v>Above Forecast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</row>
    <row r="238" ht="15.75" customHeight="1">
      <c r="A238" s="5" t="s">
        <v>30</v>
      </c>
      <c r="B238" s="5" t="s">
        <v>19</v>
      </c>
      <c r="C238" s="5" t="s">
        <v>22</v>
      </c>
      <c r="D238" s="5">
        <v>277127.0</v>
      </c>
      <c r="E238" s="5"/>
      <c r="F238" s="5">
        <v>271097.7</v>
      </c>
      <c r="G238" s="7">
        <f t="shared" si="40"/>
        <v>0.02175645101</v>
      </c>
      <c r="H238" s="8" t="str">
        <f t="shared" si="1"/>
        <v>Above Forecast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</row>
    <row r="239" ht="15.75" customHeight="1">
      <c r="A239" s="5" t="s">
        <v>30</v>
      </c>
      <c r="B239" s="5" t="s">
        <v>20</v>
      </c>
      <c r="C239" s="5" t="s">
        <v>22</v>
      </c>
      <c r="D239" s="5">
        <v>284801.0</v>
      </c>
      <c r="E239" s="5"/>
      <c r="F239" s="5"/>
      <c r="G239" s="5"/>
      <c r="H239" s="8" t="str">
        <f t="shared" si="1"/>
        <v/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</row>
    <row r="240" ht="15.75" customHeight="1">
      <c r="A240" s="5" t="s">
        <v>30</v>
      </c>
      <c r="B240" s="5" t="s">
        <v>21</v>
      </c>
      <c r="C240" s="5" t="s">
        <v>22</v>
      </c>
      <c r="D240" s="5">
        <v>270661.0</v>
      </c>
      <c r="E240" s="5"/>
      <c r="F240" s="5"/>
      <c r="G240" s="5"/>
      <c r="H240" s="8" t="str">
        <f t="shared" si="1"/>
        <v/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</row>
    <row r="241" ht="15.75" customHeight="1">
      <c r="A241" s="5" t="s">
        <v>30</v>
      </c>
      <c r="B241" s="5" t="s">
        <v>11</v>
      </c>
      <c r="C241" s="5" t="s">
        <v>22</v>
      </c>
      <c r="D241" s="5">
        <v>296247.0</v>
      </c>
      <c r="E241" s="5">
        <f>SUM(D230:D241)</f>
        <v>3444784</v>
      </c>
      <c r="F241" s="5"/>
      <c r="G241" s="5"/>
      <c r="H241" s="8" t="str">
        <f t="shared" si="1"/>
        <v/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</row>
    <row r="242" ht="15.75" customHeight="1">
      <c r="A242" s="5" t="s">
        <v>30</v>
      </c>
      <c r="B242" s="5" t="s">
        <v>8</v>
      </c>
      <c r="C242" s="5" t="s">
        <v>23</v>
      </c>
      <c r="D242" s="5">
        <v>299427.0</v>
      </c>
      <c r="E242" s="5"/>
      <c r="F242" s="5">
        <v>278587.0999999999</v>
      </c>
      <c r="G242" s="7">
        <f>1-(F242/D242)</f>
        <v>0.06959926794</v>
      </c>
      <c r="H242" s="8" t="str">
        <f t="shared" si="1"/>
        <v>Above Forecast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</row>
    <row r="243" ht="15.75" customHeight="1">
      <c r="A243" s="5" t="s">
        <v>30</v>
      </c>
      <c r="B243" s="5" t="s">
        <v>10</v>
      </c>
      <c r="C243" s="5" t="s">
        <v>23</v>
      </c>
      <c r="D243" s="5">
        <v>286933.0</v>
      </c>
      <c r="E243" s="5"/>
      <c r="F243" s="5"/>
      <c r="G243" s="5"/>
      <c r="H243" s="8" t="str">
        <f t="shared" si="1"/>
        <v/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</row>
    <row r="244" ht="15.75" customHeight="1">
      <c r="A244" s="5" t="s">
        <v>30</v>
      </c>
      <c r="B244" s="5" t="s">
        <v>12</v>
      </c>
      <c r="C244" s="5" t="s">
        <v>23</v>
      </c>
      <c r="D244" s="5">
        <v>289767.0</v>
      </c>
      <c r="E244" s="5"/>
      <c r="F244" s="5"/>
      <c r="G244" s="5"/>
      <c r="H244" s="8" t="str">
        <f t="shared" si="1"/>
        <v/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</row>
    <row r="245" ht="15.75" customHeight="1">
      <c r="A245" s="5" t="s">
        <v>30</v>
      </c>
      <c r="B245" s="5" t="s">
        <v>14</v>
      </c>
      <c r="C245" s="5" t="s">
        <v>23</v>
      </c>
      <c r="D245" s="5">
        <v>299807.0</v>
      </c>
      <c r="E245" s="5"/>
      <c r="F245" s="5">
        <v>288708.0</v>
      </c>
      <c r="G245" s="7">
        <f t="shared" ref="G245:G246" si="41">1-(F245/D245)</f>
        <v>0.03702048318</v>
      </c>
      <c r="H245" s="8" t="str">
        <f t="shared" si="1"/>
        <v>Above Forecast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</row>
    <row r="246" ht="15.75" customHeight="1">
      <c r="A246" s="5" t="s">
        <v>30</v>
      </c>
      <c r="B246" s="5" t="s">
        <v>15</v>
      </c>
      <c r="C246" s="5" t="s">
        <v>23</v>
      </c>
      <c r="D246" s="5">
        <v>297266.0</v>
      </c>
      <c r="E246" s="5"/>
      <c r="F246" s="5">
        <v>287399.2</v>
      </c>
      <c r="G246" s="7">
        <f t="shared" si="41"/>
        <v>0.03319182147</v>
      </c>
      <c r="H246" s="8" t="str">
        <f t="shared" si="1"/>
        <v>Above Forecast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</row>
    <row r="247" ht="15.75" customHeight="1">
      <c r="A247" s="5" t="s">
        <v>30</v>
      </c>
      <c r="B247" s="5" t="s">
        <v>16</v>
      </c>
      <c r="C247" s="5" t="s">
        <v>23</v>
      </c>
      <c r="D247" s="5">
        <v>276472.0</v>
      </c>
      <c r="E247" s="5"/>
      <c r="F247" s="5"/>
      <c r="G247" s="5"/>
      <c r="H247" s="8" t="str">
        <f t="shared" si="1"/>
        <v/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</row>
    <row r="248" ht="15.75" customHeight="1">
      <c r="A248" s="5" t="s">
        <v>30</v>
      </c>
      <c r="B248" s="5" t="s">
        <v>17</v>
      </c>
      <c r="C248" s="5" t="s">
        <v>23</v>
      </c>
      <c r="D248" s="5">
        <v>274284.0</v>
      </c>
      <c r="E248" s="5"/>
      <c r="F248" s="5">
        <v>292625.9</v>
      </c>
      <c r="G248" s="7">
        <f t="shared" ref="G248:G250" si="42">1-(F248/D248)</f>
        <v>-0.06687192837</v>
      </c>
      <c r="H248" s="8" t="str">
        <f t="shared" si="1"/>
        <v>Below Forecast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</row>
    <row r="249" ht="15.75" customHeight="1">
      <c r="A249" s="5" t="s">
        <v>30</v>
      </c>
      <c r="B249" s="5" t="s">
        <v>18</v>
      </c>
      <c r="C249" s="5" t="s">
        <v>23</v>
      </c>
      <c r="D249" s="5">
        <v>302894.0</v>
      </c>
      <c r="E249" s="5"/>
      <c r="F249" s="5">
        <v>299385.89999999997</v>
      </c>
      <c r="G249" s="7">
        <f t="shared" si="42"/>
        <v>0.01158193956</v>
      </c>
      <c r="H249" s="8" t="str">
        <f t="shared" si="1"/>
        <v>Above Forecast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</row>
    <row r="250" ht="15.75" customHeight="1">
      <c r="A250" s="5" t="s">
        <v>30</v>
      </c>
      <c r="B250" s="5" t="s">
        <v>19</v>
      </c>
      <c r="C250" s="5" t="s">
        <v>23</v>
      </c>
      <c r="D250" s="5">
        <v>270576.0</v>
      </c>
      <c r="E250" s="5"/>
      <c r="F250" s="5">
        <v>285137.2</v>
      </c>
      <c r="G250" s="7">
        <f t="shared" si="42"/>
        <v>-0.05381556383</v>
      </c>
      <c r="H250" s="8" t="str">
        <f t="shared" si="1"/>
        <v>Below Forecast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</row>
    <row r="251" ht="15.75" customHeight="1">
      <c r="A251" s="5" t="s">
        <v>30</v>
      </c>
      <c r="B251" s="5" t="s">
        <v>20</v>
      </c>
      <c r="C251" s="5" t="s">
        <v>23</v>
      </c>
      <c r="D251" s="5">
        <v>279856.0</v>
      </c>
      <c r="E251" s="5"/>
      <c r="F251" s="5"/>
      <c r="G251" s="5"/>
      <c r="H251" s="8" t="str">
        <f t="shared" si="1"/>
        <v/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</row>
    <row r="252" ht="15.75" customHeight="1">
      <c r="A252" s="5" t="s">
        <v>30</v>
      </c>
      <c r="B252" s="5" t="s">
        <v>21</v>
      </c>
      <c r="C252" s="5" t="s">
        <v>23</v>
      </c>
      <c r="D252" s="5">
        <v>298877.0</v>
      </c>
      <c r="E252" s="5"/>
      <c r="F252" s="5"/>
      <c r="G252" s="5"/>
      <c r="H252" s="8" t="str">
        <f t="shared" si="1"/>
        <v/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</row>
    <row r="253" ht="15.75" customHeight="1">
      <c r="A253" s="5" t="s">
        <v>30</v>
      </c>
      <c r="B253" s="5" t="s">
        <v>11</v>
      </c>
      <c r="C253" s="5" t="s">
        <v>23</v>
      </c>
      <c r="D253" s="5">
        <v>297067.0</v>
      </c>
      <c r="E253" s="5">
        <f>SUM(D242:D253)</f>
        <v>3473226</v>
      </c>
      <c r="F253" s="5"/>
      <c r="G253" s="5"/>
      <c r="H253" s="8" t="str">
        <f t="shared" si="1"/>
        <v/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</row>
    <row r="254" ht="15.75" customHeight="1">
      <c r="A254" s="5" t="s">
        <v>32</v>
      </c>
      <c r="B254" s="5" t="s">
        <v>8</v>
      </c>
      <c r="C254" s="5" t="s">
        <v>13</v>
      </c>
      <c r="D254" s="5">
        <v>67131.0</v>
      </c>
      <c r="E254" s="5"/>
      <c r="F254" s="5">
        <v>69303.0</v>
      </c>
      <c r="G254" s="7">
        <f>1-(F254/D254)</f>
        <v>-0.03235464986</v>
      </c>
      <c r="H254" s="8" t="str">
        <f t="shared" si="1"/>
        <v>Below Forecast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</row>
    <row r="255" ht="15.75" customHeight="1">
      <c r="A255" s="5" t="s">
        <v>32</v>
      </c>
      <c r="B255" s="5" t="s">
        <v>10</v>
      </c>
      <c r="C255" s="5" t="s">
        <v>13</v>
      </c>
      <c r="D255" s="5">
        <v>66688.0</v>
      </c>
      <c r="E255" s="5"/>
      <c r="F255" s="5"/>
      <c r="G255" s="5"/>
      <c r="H255" s="8" t="str">
        <f t="shared" si="1"/>
        <v/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</row>
    <row r="256" ht="15.75" customHeight="1">
      <c r="A256" s="5" t="s">
        <v>32</v>
      </c>
      <c r="B256" s="5" t="s">
        <v>12</v>
      </c>
      <c r="C256" s="5" t="s">
        <v>13</v>
      </c>
      <c r="D256" s="5">
        <v>65342.0</v>
      </c>
      <c r="E256" s="5"/>
      <c r="F256" s="5"/>
      <c r="G256" s="5"/>
      <c r="H256" s="8" t="str">
        <f t="shared" si="1"/>
        <v/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</row>
    <row r="257" ht="15.75" customHeight="1">
      <c r="A257" s="5" t="s">
        <v>32</v>
      </c>
      <c r="B257" s="5" t="s">
        <v>14</v>
      </c>
      <c r="C257" s="5" t="s">
        <v>13</v>
      </c>
      <c r="D257" s="5">
        <v>66331.0</v>
      </c>
      <c r="E257" s="5"/>
      <c r="F257" s="5">
        <v>66555.0</v>
      </c>
      <c r="G257" s="7">
        <f t="shared" ref="G257:G258" si="43">1-(F257/D257)</f>
        <v>-0.003377003211</v>
      </c>
      <c r="H257" s="8" t="str">
        <f t="shared" si="1"/>
        <v>Below Forecast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</row>
    <row r="258" ht="15.75" customHeight="1">
      <c r="A258" s="5" t="s">
        <v>32</v>
      </c>
      <c r="B258" s="5" t="s">
        <v>15</v>
      </c>
      <c r="C258" s="5" t="s">
        <v>13</v>
      </c>
      <c r="D258" s="5">
        <v>68452.0</v>
      </c>
      <c r="E258" s="5"/>
      <c r="F258" s="5">
        <v>67594.0</v>
      </c>
      <c r="G258" s="7">
        <f t="shared" si="43"/>
        <v>0.01253433063</v>
      </c>
      <c r="H258" s="8" t="str">
        <f t="shared" si="1"/>
        <v>Above Forecast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</row>
    <row r="259" ht="15.75" customHeight="1">
      <c r="A259" s="5" t="s">
        <v>32</v>
      </c>
      <c r="B259" s="5" t="s">
        <v>16</v>
      </c>
      <c r="C259" s="5" t="s">
        <v>13</v>
      </c>
      <c r="D259" s="5">
        <v>64613.0</v>
      </c>
      <c r="E259" s="5"/>
      <c r="F259" s="5"/>
      <c r="G259" s="5"/>
      <c r="H259" s="8" t="str">
        <f t="shared" si="1"/>
        <v/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</row>
    <row r="260" ht="15.75" customHeight="1">
      <c r="A260" s="5" t="s">
        <v>32</v>
      </c>
      <c r="B260" s="5" t="s">
        <v>17</v>
      </c>
      <c r="C260" s="5" t="s">
        <v>13</v>
      </c>
      <c r="D260" s="5">
        <v>65787.0</v>
      </c>
      <c r="E260" s="5"/>
      <c r="F260" s="5">
        <v>65375.0</v>
      </c>
      <c r="G260" s="7">
        <f t="shared" ref="G260:G262" si="44">1-(F260/D260)</f>
        <v>0.006262635475</v>
      </c>
      <c r="H260" s="8" t="str">
        <f t="shared" si="1"/>
        <v>Above Forecast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</row>
    <row r="261" ht="15.75" customHeight="1">
      <c r="A261" s="5" t="s">
        <v>32</v>
      </c>
      <c r="B261" s="5" t="s">
        <v>18</v>
      </c>
      <c r="C261" s="5" t="s">
        <v>13</v>
      </c>
      <c r="D261" s="5">
        <v>66006.0</v>
      </c>
      <c r="E261" s="5"/>
      <c r="F261" s="5">
        <v>66097.0</v>
      </c>
      <c r="G261" s="7">
        <f t="shared" si="44"/>
        <v>-0.001378662546</v>
      </c>
      <c r="H261" s="8" t="str">
        <f t="shared" si="1"/>
        <v>Below Forecast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</row>
    <row r="262" ht="15.75" customHeight="1">
      <c r="A262" s="5" t="s">
        <v>32</v>
      </c>
      <c r="B262" s="5" t="s">
        <v>19</v>
      </c>
      <c r="C262" s="5" t="s">
        <v>13</v>
      </c>
      <c r="D262" s="5">
        <v>64819.0</v>
      </c>
      <c r="E262" s="5"/>
      <c r="F262" s="5">
        <v>68165.0</v>
      </c>
      <c r="G262" s="7">
        <f t="shared" si="44"/>
        <v>-0.05162066678</v>
      </c>
      <c r="H262" s="8" t="str">
        <f t="shared" si="1"/>
        <v>Below Forecast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</row>
    <row r="263" ht="15.75" customHeight="1">
      <c r="A263" s="5" t="s">
        <v>32</v>
      </c>
      <c r="B263" s="5" t="s">
        <v>20</v>
      </c>
      <c r="C263" s="5" t="s">
        <v>13</v>
      </c>
      <c r="D263" s="5">
        <v>65510.0</v>
      </c>
      <c r="E263" s="5"/>
      <c r="F263" s="5"/>
      <c r="G263" s="5"/>
      <c r="H263" s="8" t="str">
        <f t="shared" si="1"/>
        <v/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</row>
    <row r="264" ht="15.75" customHeight="1">
      <c r="A264" s="5" t="s">
        <v>32</v>
      </c>
      <c r="B264" s="5" t="s">
        <v>21</v>
      </c>
      <c r="C264" s="5" t="s">
        <v>13</v>
      </c>
      <c r="D264" s="5">
        <v>64931.0</v>
      </c>
      <c r="E264" s="5"/>
      <c r="F264" s="5"/>
      <c r="G264" s="5"/>
      <c r="H264" s="8" t="str">
        <f t="shared" si="1"/>
        <v/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</row>
    <row r="265" ht="15.75" customHeight="1">
      <c r="A265" s="5" t="s">
        <v>32</v>
      </c>
      <c r="B265" s="5" t="s">
        <v>11</v>
      </c>
      <c r="C265" s="5" t="s">
        <v>13</v>
      </c>
      <c r="D265" s="5">
        <v>67470.0</v>
      </c>
      <c r="E265" s="5">
        <f>SUM(D254:D265)</f>
        <v>793080</v>
      </c>
      <c r="F265" s="5"/>
      <c r="G265" s="5"/>
      <c r="H265" s="8" t="str">
        <f t="shared" si="1"/>
        <v/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</row>
    <row r="266" ht="15.75" customHeight="1">
      <c r="A266" s="5" t="s">
        <v>32</v>
      </c>
      <c r="B266" s="5" t="s">
        <v>20</v>
      </c>
      <c r="C266" s="6" t="s">
        <v>31</v>
      </c>
      <c r="D266" s="5">
        <v>65904.0</v>
      </c>
      <c r="E266" s="5"/>
      <c r="F266" s="5"/>
      <c r="G266" s="5"/>
      <c r="H266" s="8" t="str">
        <f t="shared" si="1"/>
        <v/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</row>
    <row r="267" ht="15.75" customHeight="1">
      <c r="A267" s="5" t="s">
        <v>32</v>
      </c>
      <c r="B267" s="5" t="s">
        <v>8</v>
      </c>
      <c r="C267" s="5" t="s">
        <v>22</v>
      </c>
      <c r="D267" s="5">
        <v>65042.0</v>
      </c>
      <c r="E267" s="5"/>
      <c r="F267" s="5">
        <v>69263.0</v>
      </c>
      <c r="G267" s="7">
        <f>1-(F267/D267)</f>
        <v>-0.0648965284</v>
      </c>
      <c r="H267" s="8" t="str">
        <f t="shared" si="1"/>
        <v>Below Forecast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</row>
    <row r="268" ht="15.75" customHeight="1">
      <c r="A268" s="5" t="s">
        <v>32</v>
      </c>
      <c r="B268" s="5" t="s">
        <v>10</v>
      </c>
      <c r="C268" s="5" t="s">
        <v>22</v>
      </c>
      <c r="D268" s="5">
        <v>67949.0</v>
      </c>
      <c r="E268" s="5"/>
      <c r="F268" s="5"/>
      <c r="G268" s="5"/>
      <c r="H268" s="8" t="str">
        <f t="shared" si="1"/>
        <v/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</row>
    <row r="269" ht="15.75" customHeight="1">
      <c r="A269" s="5" t="s">
        <v>32</v>
      </c>
      <c r="B269" s="5" t="s">
        <v>12</v>
      </c>
      <c r="C269" s="5" t="s">
        <v>22</v>
      </c>
      <c r="D269" s="5">
        <v>69033.0</v>
      </c>
      <c r="E269" s="5"/>
      <c r="F269" s="5"/>
      <c r="G269" s="5"/>
      <c r="H269" s="8" t="str">
        <f t="shared" si="1"/>
        <v/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</row>
    <row r="270" ht="15.75" customHeight="1">
      <c r="A270" s="5" t="s">
        <v>32</v>
      </c>
      <c r="B270" s="5" t="s">
        <v>14</v>
      </c>
      <c r="C270" s="5" t="s">
        <v>22</v>
      </c>
      <c r="D270" s="5">
        <v>64976.0</v>
      </c>
      <c r="E270" s="5"/>
      <c r="F270" s="5">
        <v>66815.0</v>
      </c>
      <c r="G270" s="7">
        <f t="shared" ref="G270:G271" si="45">1-(F270/D270)</f>
        <v>-0.02830275794</v>
      </c>
      <c r="H270" s="8" t="str">
        <f t="shared" si="1"/>
        <v>Below Forecast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</row>
    <row r="271" ht="15.75" customHeight="1">
      <c r="A271" s="5" t="s">
        <v>32</v>
      </c>
      <c r="B271" s="5" t="s">
        <v>15</v>
      </c>
      <c r="C271" s="5" t="s">
        <v>22</v>
      </c>
      <c r="D271" s="5">
        <v>68276.0</v>
      </c>
      <c r="E271" s="5"/>
      <c r="F271" s="5">
        <v>66146.0</v>
      </c>
      <c r="G271" s="7">
        <f t="shared" si="45"/>
        <v>0.03119690667</v>
      </c>
      <c r="H271" s="8" t="str">
        <f t="shared" si="1"/>
        <v>Above Forecast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</row>
    <row r="272" ht="15.75" customHeight="1">
      <c r="A272" s="5" t="s">
        <v>32</v>
      </c>
      <c r="B272" s="5" t="s">
        <v>16</v>
      </c>
      <c r="C272" s="5" t="s">
        <v>22</v>
      </c>
      <c r="D272" s="5">
        <v>67030.0</v>
      </c>
      <c r="E272" s="5"/>
      <c r="F272" s="5"/>
      <c r="G272" s="5"/>
      <c r="H272" s="8" t="str">
        <f t="shared" si="1"/>
        <v/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</row>
    <row r="273" ht="15.75" customHeight="1">
      <c r="A273" s="5" t="s">
        <v>32</v>
      </c>
      <c r="B273" s="5" t="s">
        <v>17</v>
      </c>
      <c r="C273" s="5" t="s">
        <v>22</v>
      </c>
      <c r="D273" s="5">
        <v>65251.0</v>
      </c>
      <c r="E273" s="5"/>
      <c r="F273" s="5">
        <v>66136.0</v>
      </c>
      <c r="G273" s="7">
        <f t="shared" ref="G273:G275" si="46">1-(F273/D273)</f>
        <v>-0.01356301053</v>
      </c>
      <c r="H273" s="8" t="str">
        <f t="shared" si="1"/>
        <v>Below Forecast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</row>
    <row r="274" ht="15.75" customHeight="1">
      <c r="A274" s="5" t="s">
        <v>32</v>
      </c>
      <c r="B274" s="5" t="s">
        <v>18</v>
      </c>
      <c r="C274" s="5" t="s">
        <v>22</v>
      </c>
      <c r="D274" s="5">
        <v>68168.0</v>
      </c>
      <c r="E274" s="5"/>
      <c r="F274" s="5">
        <v>69468.0</v>
      </c>
      <c r="G274" s="7">
        <f t="shared" si="46"/>
        <v>-0.01907053163</v>
      </c>
      <c r="H274" s="8" t="str">
        <f t="shared" si="1"/>
        <v>Below Forecast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</row>
    <row r="275" ht="15.75" customHeight="1">
      <c r="A275" s="5" t="s">
        <v>32</v>
      </c>
      <c r="B275" s="5" t="s">
        <v>19</v>
      </c>
      <c r="C275" s="5" t="s">
        <v>22</v>
      </c>
      <c r="D275" s="5">
        <v>65218.0</v>
      </c>
      <c r="E275" s="5"/>
      <c r="F275" s="5">
        <v>66920.0</v>
      </c>
      <c r="G275" s="7">
        <f t="shared" si="46"/>
        <v>-0.02609708976</v>
      </c>
      <c r="H275" s="8" t="str">
        <f t="shared" si="1"/>
        <v>Below Forecast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</row>
    <row r="276" ht="15.75" customHeight="1">
      <c r="A276" s="5" t="s">
        <v>32</v>
      </c>
      <c r="B276" s="5" t="s">
        <v>21</v>
      </c>
      <c r="C276" s="5" t="s">
        <v>22</v>
      </c>
      <c r="D276" s="5">
        <v>64913.0</v>
      </c>
      <c r="E276" s="5"/>
      <c r="F276" s="5"/>
      <c r="G276" s="5"/>
      <c r="H276" s="8" t="str">
        <f t="shared" si="1"/>
        <v/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</row>
    <row r="277" ht="15.75" customHeight="1">
      <c r="A277" s="5" t="s">
        <v>32</v>
      </c>
      <c r="B277" s="5" t="s">
        <v>11</v>
      </c>
      <c r="C277" s="5" t="s">
        <v>22</v>
      </c>
      <c r="D277" s="5">
        <v>66881.0</v>
      </c>
      <c r="E277" s="5">
        <f>SUM(D266:D277)</f>
        <v>798641</v>
      </c>
      <c r="F277" s="5"/>
      <c r="G277" s="5"/>
      <c r="H277" s="8" t="str">
        <f t="shared" si="1"/>
        <v/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</row>
    <row r="278" ht="15.75" customHeight="1">
      <c r="A278" s="5" t="s">
        <v>32</v>
      </c>
      <c r="B278" s="5" t="s">
        <v>8</v>
      </c>
      <c r="C278" s="5" t="s">
        <v>23</v>
      </c>
      <c r="D278" s="5">
        <v>66861.0</v>
      </c>
      <c r="E278" s="5"/>
      <c r="F278" s="5">
        <v>65435.0</v>
      </c>
      <c r="G278" s="7">
        <f>1-(F278/D278)</f>
        <v>0.02132782938</v>
      </c>
      <c r="H278" s="8" t="str">
        <f t="shared" si="1"/>
        <v>Above Forecast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</row>
    <row r="279" ht="15.75" customHeight="1">
      <c r="A279" s="5" t="s">
        <v>32</v>
      </c>
      <c r="B279" s="5" t="s">
        <v>10</v>
      </c>
      <c r="C279" s="5" t="s">
        <v>23</v>
      </c>
      <c r="D279" s="5">
        <v>64931.0</v>
      </c>
      <c r="E279" s="5"/>
      <c r="F279" s="5"/>
      <c r="G279" s="5"/>
      <c r="H279" s="8" t="str">
        <f t="shared" si="1"/>
        <v/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</row>
    <row r="280" ht="15.75" customHeight="1">
      <c r="A280" s="5" t="s">
        <v>32</v>
      </c>
      <c r="B280" s="5" t="s">
        <v>12</v>
      </c>
      <c r="C280" s="5" t="s">
        <v>23</v>
      </c>
      <c r="D280" s="5">
        <v>69370.0</v>
      </c>
      <c r="E280" s="5"/>
      <c r="F280" s="5"/>
      <c r="G280" s="5"/>
      <c r="H280" s="8" t="str">
        <f t="shared" si="1"/>
        <v/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</row>
    <row r="281" ht="15.75" customHeight="1">
      <c r="A281" s="5" t="s">
        <v>32</v>
      </c>
      <c r="B281" s="5" t="s">
        <v>14</v>
      </c>
      <c r="C281" s="5" t="s">
        <v>23</v>
      </c>
      <c r="D281" s="5">
        <v>68358.0</v>
      </c>
      <c r="E281" s="5"/>
      <c r="F281" s="5">
        <v>65960.0</v>
      </c>
      <c r="G281" s="7">
        <f t="shared" ref="G281:G282" si="47">1-(F281/D281)</f>
        <v>0.0350800199</v>
      </c>
      <c r="H281" s="8" t="str">
        <f t="shared" si="1"/>
        <v>Above Forecast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</row>
    <row r="282" ht="15.75" customHeight="1">
      <c r="A282" s="5" t="s">
        <v>32</v>
      </c>
      <c r="B282" s="5" t="s">
        <v>15</v>
      </c>
      <c r="C282" s="5" t="s">
        <v>23</v>
      </c>
      <c r="D282" s="5">
        <v>65154.0</v>
      </c>
      <c r="E282" s="5"/>
      <c r="F282" s="5">
        <v>67113.0</v>
      </c>
      <c r="G282" s="7">
        <f t="shared" si="47"/>
        <v>-0.03006722534</v>
      </c>
      <c r="H282" s="8" t="str">
        <f t="shared" si="1"/>
        <v>Below Forecast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</row>
    <row r="283" ht="15.75" customHeight="1">
      <c r="A283" s="5" t="s">
        <v>32</v>
      </c>
      <c r="B283" s="5" t="s">
        <v>16</v>
      </c>
      <c r="C283" s="5" t="s">
        <v>23</v>
      </c>
      <c r="D283" s="5">
        <v>67787.0</v>
      </c>
      <c r="E283" s="5"/>
      <c r="F283" s="5"/>
      <c r="G283" s="5"/>
      <c r="H283" s="8" t="str">
        <f t="shared" si="1"/>
        <v/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</row>
    <row r="284" ht="15.75" customHeight="1">
      <c r="A284" s="5" t="s">
        <v>32</v>
      </c>
      <c r="B284" s="5" t="s">
        <v>17</v>
      </c>
      <c r="C284" s="5" t="s">
        <v>23</v>
      </c>
      <c r="D284" s="5">
        <v>68747.0</v>
      </c>
      <c r="E284" s="5"/>
      <c r="F284" s="5">
        <v>64558.0</v>
      </c>
      <c r="G284" s="7">
        <f t="shared" ref="G284:G286" si="48">1-(F284/D284)</f>
        <v>0.06093356801</v>
      </c>
      <c r="H284" s="8" t="str">
        <f t="shared" si="1"/>
        <v>Above Forecast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</row>
    <row r="285" ht="15.75" customHeight="1">
      <c r="A285" s="5" t="s">
        <v>32</v>
      </c>
      <c r="B285" s="5" t="s">
        <v>18</v>
      </c>
      <c r="C285" s="5" t="s">
        <v>23</v>
      </c>
      <c r="D285" s="5">
        <v>65732.0</v>
      </c>
      <c r="E285" s="5"/>
      <c r="F285" s="5">
        <v>64642.0</v>
      </c>
      <c r="G285" s="7">
        <f t="shared" si="48"/>
        <v>0.01658248646</v>
      </c>
      <c r="H285" s="8" t="str">
        <f t="shared" si="1"/>
        <v>Above Forecast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</row>
    <row r="286" ht="15.75" customHeight="1">
      <c r="A286" s="5" t="s">
        <v>32</v>
      </c>
      <c r="B286" s="5" t="s">
        <v>19</v>
      </c>
      <c r="C286" s="5" t="s">
        <v>23</v>
      </c>
      <c r="D286" s="5">
        <v>68723.0</v>
      </c>
      <c r="E286" s="5"/>
      <c r="F286" s="5">
        <v>65544.0</v>
      </c>
      <c r="G286" s="7">
        <f t="shared" si="48"/>
        <v>0.04625816684</v>
      </c>
      <c r="H286" s="8" t="str">
        <f t="shared" si="1"/>
        <v>Above Forecast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</row>
    <row r="287" ht="15.75" customHeight="1">
      <c r="A287" s="5" t="s">
        <v>32</v>
      </c>
      <c r="B287" s="5" t="s">
        <v>20</v>
      </c>
      <c r="C287" s="5" t="s">
        <v>23</v>
      </c>
      <c r="D287" s="5">
        <v>66218.0</v>
      </c>
      <c r="E287" s="5"/>
      <c r="F287" s="5"/>
      <c r="G287" s="5"/>
      <c r="H287" s="8" t="str">
        <f t="shared" si="1"/>
        <v/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</row>
    <row r="288" ht="15.75" customHeight="1">
      <c r="A288" s="5" t="s">
        <v>32</v>
      </c>
      <c r="B288" s="5" t="s">
        <v>21</v>
      </c>
      <c r="C288" s="5" t="s">
        <v>23</v>
      </c>
      <c r="D288" s="5">
        <v>68202.0</v>
      </c>
      <c r="E288" s="5"/>
      <c r="F288" s="5"/>
      <c r="G288" s="5"/>
      <c r="H288" s="8" t="str">
        <f t="shared" si="1"/>
        <v/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</row>
    <row r="289" ht="15.75" customHeight="1">
      <c r="A289" s="5" t="s">
        <v>32</v>
      </c>
      <c r="B289" s="5" t="s">
        <v>11</v>
      </c>
      <c r="C289" s="5" t="s">
        <v>23</v>
      </c>
      <c r="D289" s="5">
        <v>66145.0</v>
      </c>
      <c r="E289" s="5">
        <f>SUM(D278:D289)</f>
        <v>806228</v>
      </c>
      <c r="F289" s="5"/>
      <c r="G289" s="5"/>
      <c r="H289" s="8" t="str">
        <f t="shared" si="1"/>
        <v/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</row>
    <row r="290" ht="15.75" customHeight="1"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</row>
    <row r="291" ht="15.75" customHeight="1"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</row>
    <row r="292" ht="15.75" customHeight="1"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</row>
    <row r="293" ht="15.75" customHeight="1"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</row>
    <row r="294" ht="15.75" customHeight="1"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</row>
    <row r="295" ht="15.75" customHeight="1"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</row>
    <row r="296" ht="15.75" customHeight="1"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</row>
    <row r="297" ht="15.75" customHeight="1"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</row>
    <row r="298" ht="15.75" customHeight="1"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</row>
    <row r="299" ht="15.75" customHeight="1"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</row>
    <row r="300" ht="15.75" customHeight="1"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</row>
    <row r="301" ht="15.75" customHeight="1"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</row>
    <row r="302" ht="15.75" customHeight="1"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</row>
    <row r="303" ht="15.75" customHeight="1"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</row>
    <row r="304" ht="15.75" customHeight="1"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</row>
    <row r="305" ht="15.75" customHeight="1"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</row>
    <row r="306" ht="15.75" customHeight="1"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</row>
    <row r="307" ht="15.75" customHeight="1"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</row>
    <row r="308" ht="15.75" customHeight="1"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</row>
    <row r="309" ht="15.75" customHeight="1"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</row>
    <row r="310" ht="15.75" customHeight="1"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</row>
    <row r="311" ht="15.75" customHeight="1"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</row>
    <row r="312" ht="15.75" customHeight="1"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</row>
    <row r="313" ht="15.75" customHeight="1"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</row>
    <row r="314" ht="15.75" customHeight="1"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</row>
    <row r="315" ht="15.75" customHeight="1"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</row>
    <row r="316" ht="15.75" customHeight="1"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</row>
    <row r="317" ht="15.75" customHeight="1"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</row>
    <row r="318" ht="15.75" customHeight="1"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</row>
    <row r="319" ht="15.75" customHeight="1"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</row>
    <row r="320" ht="15.75" customHeight="1"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</row>
    <row r="321" ht="15.75" customHeight="1"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</row>
    <row r="322" ht="15.75" customHeight="1"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</row>
    <row r="323" ht="15.75" customHeight="1"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</row>
    <row r="324" ht="15.75" customHeight="1"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</row>
    <row r="325" ht="15.75" customHeight="1"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</row>
    <row r="326" ht="15.75" customHeight="1"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</row>
    <row r="327" ht="15.75" customHeight="1"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</row>
    <row r="328" ht="15.75" customHeight="1"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</row>
    <row r="329" ht="15.75" customHeight="1"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</row>
    <row r="330" ht="15.75" customHeight="1"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</row>
    <row r="331" ht="15.75" customHeight="1"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</row>
    <row r="332" ht="15.75" customHeight="1"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</row>
    <row r="333" ht="15.75" customHeight="1"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</row>
    <row r="334" ht="15.75" customHeight="1"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</row>
    <row r="335" ht="15.75" customHeight="1"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</row>
    <row r="336" ht="15.75" customHeight="1"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</row>
    <row r="337" ht="15.75" customHeight="1"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</row>
    <row r="338" ht="15.75" customHeight="1"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</row>
    <row r="339" ht="15.75" customHeight="1"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</row>
    <row r="340" ht="15.75" customHeight="1"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</row>
    <row r="341" ht="15.75" customHeight="1"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</row>
    <row r="342" ht="15.75" customHeight="1"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</row>
    <row r="343" ht="15.75" customHeight="1"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</row>
    <row r="344" ht="15.75" customHeight="1"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</row>
    <row r="345" ht="15.75" customHeight="1"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</row>
    <row r="346" ht="15.75" customHeight="1"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</row>
    <row r="347" ht="15.75" customHeight="1"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</row>
    <row r="348" ht="15.75" customHeight="1"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</row>
    <row r="349" ht="15.75" customHeight="1"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</row>
    <row r="350" ht="15.75" customHeight="1"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</row>
    <row r="351" ht="15.75" customHeight="1"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</row>
    <row r="352" ht="15.75" customHeight="1"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</row>
    <row r="353" ht="15.75" customHeight="1"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</row>
    <row r="354" ht="15.75" customHeight="1"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</row>
    <row r="355" ht="15.75" customHeight="1"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</row>
    <row r="356" ht="15.75" customHeight="1"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</row>
    <row r="357" ht="15.75" customHeight="1"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</row>
    <row r="358" ht="15.75" customHeight="1"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</row>
    <row r="359" ht="15.75" customHeight="1"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</row>
    <row r="360" ht="15.75" customHeight="1"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</row>
    <row r="361" ht="15.75" customHeight="1"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</row>
    <row r="362" ht="15.75" customHeight="1"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</row>
    <row r="363" ht="15.75" customHeight="1"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</row>
    <row r="364" ht="15.75" customHeight="1"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</row>
    <row r="365" ht="15.75" customHeight="1"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</row>
    <row r="366" ht="15.75" customHeight="1"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</row>
    <row r="367" ht="15.75" customHeight="1"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</row>
    <row r="368" ht="15.75" customHeight="1"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</row>
    <row r="369" ht="15.75" customHeight="1"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</row>
    <row r="370" ht="15.75" customHeight="1"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</row>
    <row r="371" ht="15.75" customHeight="1"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</row>
    <row r="372" ht="15.75" customHeight="1"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</row>
    <row r="373" ht="15.75" customHeight="1"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</row>
    <row r="374" ht="15.75" customHeight="1"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</row>
    <row r="375" ht="15.75" customHeight="1"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</row>
    <row r="376" ht="15.75" customHeight="1"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</row>
    <row r="377" ht="15.75" customHeight="1"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</row>
    <row r="378" ht="15.75" customHeight="1"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</row>
    <row r="379" ht="15.75" customHeight="1"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</row>
    <row r="380" ht="15.75" customHeight="1"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</row>
    <row r="381" ht="15.75" customHeight="1"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</row>
    <row r="382" ht="15.75" customHeight="1"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</row>
    <row r="383" ht="15.75" customHeight="1"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</row>
    <row r="384" ht="15.75" customHeight="1"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</row>
    <row r="385" ht="15.75" customHeight="1"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</row>
    <row r="386" ht="15.75" customHeight="1"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</row>
    <row r="387" ht="15.75" customHeight="1"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</row>
    <row r="388" ht="15.75" customHeight="1"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</row>
    <row r="389" ht="15.75" customHeight="1"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</row>
    <row r="390" ht="15.75" customHeight="1"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</row>
    <row r="391" ht="15.75" customHeight="1"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</row>
    <row r="392" ht="15.75" customHeight="1"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</row>
    <row r="393" ht="15.75" customHeight="1"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</row>
    <row r="394" ht="15.75" customHeight="1"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</row>
    <row r="395" ht="15.75" customHeight="1"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</row>
    <row r="396" ht="15.75" customHeight="1"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</row>
    <row r="397" ht="15.75" customHeight="1"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</row>
    <row r="398" ht="15.75" customHeight="1"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</row>
    <row r="399" ht="15.75" customHeight="1"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</row>
    <row r="400" ht="15.75" customHeight="1"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</row>
    <row r="401" ht="15.75" customHeight="1"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</row>
    <row r="402" ht="15.75" customHeight="1"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</row>
    <row r="403" ht="15.75" customHeight="1"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</row>
    <row r="404" ht="15.75" customHeight="1"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</row>
    <row r="405" ht="15.75" customHeight="1"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</row>
    <row r="406" ht="15.75" customHeight="1"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</row>
    <row r="407" ht="15.75" customHeight="1"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</row>
    <row r="408" ht="15.75" customHeight="1"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</row>
    <row r="409" ht="15.75" customHeight="1"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</row>
    <row r="410" ht="15.75" customHeight="1"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</row>
    <row r="411" ht="15.75" customHeight="1"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</row>
    <row r="412" ht="15.75" customHeight="1"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</row>
    <row r="413" ht="15.75" customHeight="1"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</row>
    <row r="414" ht="15.75" customHeight="1"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</row>
    <row r="415" ht="15.75" customHeight="1"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</row>
    <row r="416" ht="15.75" customHeight="1"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</row>
    <row r="417" ht="15.75" customHeight="1"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</row>
    <row r="418" ht="15.75" customHeight="1"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</row>
    <row r="419" ht="15.75" customHeight="1"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</row>
    <row r="420" ht="15.75" customHeight="1"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</row>
    <row r="421" ht="15.75" customHeight="1"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</row>
    <row r="422" ht="15.75" customHeight="1"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</row>
    <row r="423" ht="15.75" customHeight="1"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</row>
    <row r="424" ht="15.75" customHeight="1"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</row>
    <row r="425" ht="15.75" customHeight="1"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</row>
    <row r="426" ht="15.75" customHeight="1"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</row>
    <row r="427" ht="15.75" customHeight="1"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</row>
    <row r="428" ht="15.75" customHeight="1"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</row>
    <row r="429" ht="15.75" customHeight="1"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</row>
    <row r="430" ht="15.75" customHeight="1"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</row>
    <row r="431" ht="15.75" customHeight="1"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</row>
    <row r="432" ht="15.75" customHeight="1"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</row>
    <row r="433" ht="15.75" customHeight="1"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</row>
    <row r="434" ht="15.75" customHeight="1"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</row>
    <row r="435" ht="15.75" customHeight="1"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</row>
    <row r="436" ht="15.75" customHeight="1"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</row>
    <row r="437" ht="15.75" customHeight="1"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</row>
    <row r="438" ht="15.75" customHeight="1"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</row>
    <row r="439" ht="15.75" customHeight="1"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</row>
    <row r="440" ht="15.75" customHeight="1"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</row>
    <row r="441" ht="15.75" customHeight="1"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</row>
    <row r="442" ht="15.75" customHeight="1"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</row>
    <row r="443" ht="15.75" customHeight="1"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</row>
    <row r="444" ht="15.75" customHeight="1"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</row>
    <row r="445" ht="15.75" customHeight="1"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</row>
    <row r="446" ht="15.75" customHeight="1"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</row>
    <row r="447" ht="15.75" customHeight="1"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</row>
    <row r="448" ht="15.75" customHeight="1"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</row>
    <row r="449" ht="15.75" customHeight="1"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</row>
    <row r="450" ht="15.75" customHeight="1"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</row>
    <row r="451" ht="15.75" customHeight="1"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</row>
    <row r="452" ht="15.75" customHeight="1"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</row>
    <row r="453" ht="15.75" customHeight="1"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</row>
    <row r="454" ht="15.75" customHeight="1"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</row>
    <row r="455" ht="15.75" customHeight="1"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</row>
    <row r="456" ht="15.75" customHeight="1"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</row>
    <row r="457" ht="15.75" customHeight="1"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</row>
    <row r="458" ht="15.75" customHeight="1"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</row>
    <row r="459" ht="15.75" customHeight="1"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</row>
    <row r="460" ht="15.75" customHeight="1"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</row>
    <row r="461" ht="15.75" customHeight="1"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</row>
    <row r="462" ht="15.75" customHeight="1"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</row>
    <row r="463" ht="15.75" customHeight="1"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</row>
    <row r="464" ht="15.75" customHeight="1"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</row>
    <row r="465" ht="15.75" customHeight="1"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</row>
    <row r="466" ht="15.75" customHeight="1"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</row>
    <row r="467" ht="15.75" customHeight="1"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</row>
    <row r="468" ht="15.75" customHeight="1"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</row>
    <row r="469" ht="15.75" customHeight="1"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</row>
    <row r="470" ht="15.75" customHeight="1"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</row>
    <row r="471" ht="15.75" customHeight="1"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</row>
    <row r="472" ht="15.75" customHeight="1"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</row>
    <row r="473" ht="15.75" customHeight="1"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</row>
    <row r="474" ht="15.75" customHeight="1"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</row>
    <row r="475" ht="15.75" customHeight="1"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</row>
    <row r="476" ht="15.75" customHeight="1"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</row>
    <row r="477" ht="15.75" customHeight="1"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</row>
    <row r="478" ht="15.75" customHeight="1"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</row>
    <row r="479" ht="15.75" customHeight="1"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</row>
    <row r="480" ht="15.75" customHeight="1"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</row>
    <row r="481" ht="15.75" customHeight="1"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</row>
    <row r="482" ht="15.75" customHeight="1"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</row>
    <row r="483" ht="15.75" customHeight="1"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</row>
    <row r="484" ht="15.75" customHeight="1"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</row>
    <row r="485" ht="15.75" customHeight="1"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</row>
    <row r="486" ht="15.75" customHeight="1"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</row>
    <row r="487" ht="15.75" customHeight="1"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</row>
    <row r="488" ht="15.75" customHeight="1"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</row>
    <row r="489" ht="15.75" customHeight="1"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</row>
    <row r="490" ht="15.75" customHeight="1"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</row>
    <row r="491" ht="15.75" customHeight="1"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</row>
    <row r="492" ht="15.75" customHeight="1"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</row>
    <row r="493" ht="15.75" customHeight="1"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</row>
    <row r="494" ht="15.75" customHeight="1"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</row>
    <row r="495" ht="15.75" customHeight="1"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</row>
    <row r="496" ht="15.75" customHeight="1"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</row>
    <row r="497" ht="15.75" customHeight="1"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</row>
    <row r="498" ht="15.75" customHeight="1"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</row>
    <row r="499" ht="15.75" customHeight="1"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</row>
    <row r="500" ht="15.75" customHeight="1"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</row>
    <row r="501" ht="15.75" customHeight="1"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</row>
    <row r="502" ht="15.75" customHeight="1"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</row>
    <row r="503" ht="15.75" customHeight="1"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</row>
    <row r="504" ht="15.75" customHeight="1"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</row>
    <row r="505" ht="15.75" customHeight="1"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</row>
    <row r="506" ht="15.75" customHeight="1"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</row>
    <row r="507" ht="15.75" customHeight="1"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</row>
    <row r="508" ht="15.75" customHeight="1"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</row>
    <row r="509" ht="15.75" customHeight="1"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</row>
    <row r="510" ht="15.75" customHeight="1"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</row>
    <row r="511" ht="15.75" customHeight="1"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</row>
    <row r="512" ht="15.75" customHeight="1"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</row>
    <row r="513" ht="15.75" customHeight="1"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</row>
    <row r="514" ht="15.75" customHeight="1"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</row>
    <row r="515" ht="15.75" customHeight="1"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</row>
    <row r="516" ht="15.75" customHeight="1"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</row>
    <row r="517" ht="15.75" customHeight="1"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</row>
    <row r="518" ht="15.75" customHeight="1"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</row>
    <row r="519" ht="15.75" customHeight="1"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</row>
    <row r="520" ht="15.75" customHeight="1"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</row>
    <row r="521" ht="15.75" customHeight="1"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</row>
    <row r="522" ht="15.75" customHeight="1"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</row>
    <row r="523" ht="15.75" customHeight="1"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</row>
    <row r="524" ht="15.75" customHeight="1"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</row>
    <row r="525" ht="15.75" customHeight="1"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</row>
    <row r="526" ht="15.75" customHeight="1"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</row>
    <row r="527" ht="15.75" customHeight="1"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</row>
    <row r="528" ht="15.75" customHeight="1"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</row>
    <row r="529" ht="15.75" customHeight="1"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</row>
    <row r="530" ht="15.75" customHeight="1"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</row>
    <row r="531" ht="15.75" customHeight="1"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</row>
    <row r="532" ht="15.75" customHeight="1"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</row>
    <row r="533" ht="15.75" customHeight="1"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</row>
    <row r="534" ht="15.75" customHeight="1"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</row>
    <row r="535" ht="15.75" customHeight="1"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</row>
    <row r="536" ht="15.75" customHeight="1"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</row>
    <row r="537" ht="15.75" customHeight="1"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</row>
    <row r="538" ht="15.75" customHeight="1"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</row>
    <row r="539" ht="15.75" customHeight="1"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</row>
    <row r="540" ht="15.75" customHeight="1"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</row>
    <row r="541" ht="15.75" customHeight="1"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</row>
    <row r="542" ht="15.75" customHeight="1"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</row>
    <row r="543" ht="15.75" customHeight="1"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</row>
    <row r="544" ht="15.75" customHeight="1"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</row>
    <row r="545" ht="15.75" customHeight="1"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</row>
    <row r="546" ht="15.75" customHeight="1"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</row>
    <row r="547" ht="15.75" customHeight="1"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</row>
    <row r="548" ht="15.75" customHeight="1"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</row>
    <row r="549" ht="15.75" customHeight="1"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</row>
    <row r="550" ht="15.75" customHeight="1"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</row>
    <row r="551" ht="15.75" customHeight="1"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</row>
    <row r="552" ht="15.75" customHeight="1"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</row>
    <row r="553" ht="15.75" customHeight="1"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</row>
    <row r="554" ht="15.75" customHeight="1"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</row>
    <row r="555" ht="15.75" customHeight="1"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</row>
    <row r="556" ht="15.75" customHeight="1"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</row>
    <row r="557" ht="15.75" customHeight="1"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</row>
    <row r="558" ht="15.75" customHeight="1"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</row>
    <row r="559" ht="15.75" customHeight="1"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</row>
    <row r="560" ht="15.75" customHeight="1"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</row>
    <row r="561" ht="15.75" customHeight="1"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</row>
    <row r="562" ht="15.75" customHeight="1"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</row>
    <row r="563" ht="15.75" customHeight="1"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</row>
    <row r="564" ht="15.75" customHeight="1"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</row>
    <row r="565" ht="15.75" customHeight="1"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</row>
    <row r="566" ht="15.75" customHeight="1"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</row>
    <row r="567" ht="15.75" customHeight="1"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</row>
    <row r="568" ht="15.75" customHeight="1"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</row>
    <row r="569" ht="15.75" customHeight="1"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</row>
    <row r="570" ht="15.75" customHeight="1"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</row>
    <row r="571" ht="15.75" customHeight="1"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</row>
    <row r="572" ht="15.75" customHeight="1"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</row>
    <row r="573" ht="15.75" customHeight="1"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</row>
    <row r="574" ht="15.75" customHeight="1"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</row>
    <row r="575" ht="15.75" customHeight="1"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</row>
    <row r="576" ht="15.75" customHeight="1"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</row>
    <row r="577" ht="15.75" customHeight="1"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</row>
    <row r="578" ht="15.75" customHeight="1"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</row>
    <row r="579" ht="15.75" customHeight="1"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</row>
    <row r="580" ht="15.75" customHeight="1"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</row>
    <row r="581" ht="15.75" customHeight="1"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</row>
    <row r="582" ht="15.75" customHeight="1"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</row>
    <row r="583" ht="15.75" customHeight="1"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</row>
    <row r="584" ht="15.75" customHeight="1"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</row>
    <row r="585" ht="15.75" customHeight="1"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</row>
    <row r="586" ht="15.75" customHeight="1"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</row>
    <row r="587" ht="15.75" customHeight="1"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</row>
    <row r="588" ht="15.75" customHeight="1"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</row>
    <row r="589" ht="15.75" customHeight="1"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</row>
    <row r="590" ht="15.75" customHeight="1"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</row>
    <row r="591" ht="15.75" customHeight="1"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</row>
    <row r="592" ht="15.75" customHeight="1"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</row>
    <row r="593" ht="15.75" customHeight="1"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</row>
    <row r="594" ht="15.75" customHeight="1"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</row>
    <row r="595" ht="15.75" customHeight="1"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</row>
    <row r="596" ht="15.75" customHeight="1"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</row>
    <row r="597" ht="15.75" customHeight="1"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</row>
    <row r="598" ht="15.75" customHeight="1"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</row>
    <row r="599" ht="15.75" customHeight="1"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</row>
    <row r="600" ht="15.75" customHeight="1"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</row>
    <row r="601" ht="15.75" customHeight="1"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</row>
    <row r="602" ht="15.75" customHeight="1"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</row>
    <row r="603" ht="15.75" customHeight="1"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</row>
    <row r="604" ht="15.75" customHeight="1"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</row>
    <row r="605" ht="15.75" customHeight="1"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</row>
    <row r="606" ht="15.75" customHeight="1"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</row>
    <row r="607" ht="15.75" customHeight="1"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</row>
    <row r="608" ht="15.75" customHeight="1"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</row>
    <row r="609" ht="15.75" customHeight="1"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</row>
    <row r="610" ht="15.75" customHeight="1"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</row>
    <row r="611" ht="15.75" customHeight="1"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</row>
    <row r="612" ht="15.75" customHeight="1"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</row>
    <row r="613" ht="15.75" customHeight="1"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</row>
    <row r="614" ht="15.75" customHeight="1"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</row>
    <row r="615" ht="15.75" customHeight="1"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</row>
    <row r="616" ht="15.75" customHeight="1"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</row>
    <row r="617" ht="15.75" customHeight="1"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</row>
    <row r="618" ht="15.75" customHeight="1"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</row>
    <row r="619" ht="15.75" customHeight="1"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</row>
    <row r="620" ht="15.75" customHeight="1"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</row>
    <row r="621" ht="15.75" customHeight="1"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</row>
    <row r="622" ht="15.75" customHeight="1"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</row>
    <row r="623" ht="15.75" customHeight="1"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</row>
    <row r="624" ht="15.75" customHeight="1"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</row>
    <row r="625" ht="15.75" customHeight="1"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</row>
    <row r="626" ht="15.75" customHeight="1"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</row>
    <row r="627" ht="15.75" customHeight="1"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</row>
    <row r="628" ht="15.75" customHeight="1"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</row>
    <row r="629" ht="15.75" customHeight="1"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</row>
    <row r="630" ht="15.75" customHeight="1"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</row>
    <row r="631" ht="15.75" customHeight="1"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</row>
    <row r="632" ht="15.75" customHeight="1"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</row>
    <row r="633" ht="15.75" customHeight="1"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</row>
    <row r="634" ht="15.75" customHeight="1"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</row>
    <row r="635" ht="15.75" customHeight="1"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</row>
    <row r="636" ht="15.75" customHeight="1"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</row>
    <row r="637" ht="15.75" customHeight="1"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</row>
    <row r="638" ht="15.75" customHeight="1"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</row>
    <row r="639" ht="15.75" customHeight="1"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</row>
    <row r="640" ht="15.75" customHeight="1"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</row>
    <row r="641" ht="15.75" customHeight="1"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</row>
    <row r="642" ht="15.75" customHeight="1"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</row>
    <row r="643" ht="15.75" customHeight="1"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</row>
    <row r="644" ht="15.75" customHeight="1"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</row>
    <row r="645" ht="15.75" customHeight="1"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</row>
    <row r="646" ht="15.75" customHeight="1"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</row>
    <row r="647" ht="15.75" customHeight="1"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</row>
    <row r="648" ht="15.75" customHeight="1"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</row>
    <row r="649" ht="15.75" customHeight="1"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</row>
    <row r="650" ht="15.75" customHeight="1"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</row>
    <row r="651" ht="15.75" customHeight="1"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</row>
    <row r="652" ht="15.75" customHeight="1"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</row>
    <row r="653" ht="15.75" customHeight="1"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</row>
    <row r="654" ht="15.75" customHeight="1"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</row>
    <row r="655" ht="15.75" customHeight="1"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</row>
    <row r="656" ht="15.75" customHeight="1"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</row>
    <row r="657" ht="15.75" customHeight="1"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</row>
    <row r="658" ht="15.75" customHeight="1"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</row>
    <row r="659" ht="15.75" customHeight="1"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</row>
    <row r="660" ht="15.75" customHeight="1"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</row>
    <row r="661" ht="15.75" customHeight="1"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</row>
    <row r="662" ht="15.75" customHeight="1"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</row>
    <row r="663" ht="15.75" customHeight="1"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</row>
    <row r="664" ht="15.75" customHeight="1"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</row>
    <row r="665" ht="15.75" customHeight="1"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</row>
    <row r="666" ht="15.75" customHeight="1"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</row>
    <row r="667" ht="15.75" customHeight="1"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</row>
    <row r="668" ht="15.75" customHeight="1"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</row>
    <row r="669" ht="15.75" customHeight="1"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</row>
    <row r="670" ht="15.75" customHeight="1"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</row>
    <row r="671" ht="15.75" customHeight="1"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</row>
    <row r="672" ht="15.75" customHeight="1"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</row>
    <row r="673" ht="15.75" customHeight="1"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</row>
    <row r="674" ht="15.75" customHeight="1"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</row>
    <row r="675" ht="15.75" customHeight="1"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</row>
    <row r="676" ht="15.75" customHeight="1"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</row>
    <row r="677" ht="15.75" customHeight="1"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</row>
    <row r="678" ht="15.75" customHeight="1"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</row>
    <row r="679" ht="15.75" customHeight="1"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</row>
    <row r="680" ht="15.75" customHeight="1"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</row>
    <row r="681" ht="15.75" customHeight="1"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</row>
    <row r="682" ht="15.75" customHeight="1"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</row>
    <row r="683" ht="15.75" customHeight="1"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</row>
    <row r="684" ht="15.75" customHeight="1"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</row>
    <row r="685" ht="15.75" customHeight="1"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</row>
    <row r="686" ht="15.75" customHeight="1"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</row>
    <row r="687" ht="15.75" customHeight="1"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</row>
    <row r="688" ht="15.75" customHeight="1"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</row>
    <row r="689" ht="15.75" customHeight="1"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</row>
    <row r="690" ht="15.75" customHeight="1"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</row>
    <row r="691" ht="15.75" customHeight="1"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</row>
    <row r="692" ht="15.75" customHeight="1"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</row>
    <row r="693" ht="15.75" customHeight="1"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</row>
    <row r="694" ht="15.75" customHeight="1"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</row>
    <row r="695" ht="15.75" customHeight="1"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</row>
    <row r="696" ht="15.75" customHeight="1"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</row>
    <row r="697" ht="15.75" customHeight="1"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</row>
    <row r="698" ht="15.75" customHeight="1"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</row>
    <row r="699" ht="15.75" customHeight="1"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</row>
    <row r="700" ht="15.75" customHeight="1"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</row>
    <row r="701" ht="15.75" customHeight="1"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</row>
    <row r="702" ht="15.75" customHeight="1"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</row>
    <row r="703" ht="15.75" customHeight="1"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</row>
    <row r="704" ht="15.75" customHeight="1"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</row>
    <row r="705" ht="15.75" customHeight="1"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</row>
    <row r="706" ht="15.75" customHeight="1"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</row>
    <row r="707" ht="15.75" customHeight="1"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</row>
    <row r="708" ht="15.75" customHeight="1"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</row>
    <row r="709" ht="15.75" customHeight="1"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</row>
    <row r="710" ht="15.75" customHeight="1"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</row>
    <row r="711" ht="15.75" customHeight="1"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</row>
    <row r="712" ht="15.75" customHeight="1"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</row>
    <row r="713" ht="15.75" customHeight="1"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</row>
    <row r="714" ht="15.75" customHeight="1"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</row>
    <row r="715" ht="15.75" customHeight="1"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</row>
    <row r="716" ht="15.75" customHeight="1"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</row>
    <row r="717" ht="15.75" customHeight="1"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</row>
    <row r="718" ht="15.75" customHeight="1"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</row>
    <row r="719" ht="15.75" customHeight="1"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</row>
    <row r="720" ht="15.75" customHeight="1"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</row>
    <row r="721" ht="15.75" customHeight="1"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</row>
    <row r="722" ht="15.75" customHeight="1"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</row>
    <row r="723" ht="15.75" customHeight="1"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</row>
    <row r="724" ht="15.75" customHeight="1"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</row>
    <row r="725" ht="15.75" customHeight="1"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</row>
    <row r="726" ht="15.75" customHeight="1"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</row>
    <row r="727" ht="15.75" customHeight="1"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</row>
    <row r="728" ht="15.75" customHeight="1"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</row>
    <row r="729" ht="15.75" customHeight="1"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</row>
    <row r="730" ht="15.75" customHeight="1"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</row>
    <row r="731" ht="15.75" customHeight="1"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</row>
    <row r="732" ht="15.75" customHeight="1"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</row>
    <row r="733" ht="15.75" customHeight="1"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</row>
    <row r="734" ht="15.75" customHeight="1"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</row>
    <row r="735" ht="15.75" customHeight="1"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</row>
    <row r="736" ht="15.75" customHeight="1"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</row>
    <row r="737" ht="15.75" customHeight="1"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</row>
    <row r="738" ht="15.75" customHeight="1"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</row>
    <row r="739" ht="15.75" customHeight="1"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</row>
    <row r="740" ht="15.75" customHeight="1"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</row>
    <row r="741" ht="15.75" customHeight="1"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</row>
    <row r="742" ht="15.75" customHeight="1"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</row>
    <row r="743" ht="15.75" customHeight="1"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</row>
    <row r="744" ht="15.75" customHeight="1"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</row>
    <row r="745" ht="15.75" customHeight="1"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</row>
    <row r="746" ht="15.75" customHeight="1"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</row>
    <row r="747" ht="15.75" customHeight="1"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</row>
    <row r="748" ht="15.75" customHeight="1"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</row>
    <row r="749" ht="15.75" customHeight="1"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</row>
    <row r="750" ht="15.75" customHeight="1"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</row>
    <row r="751" ht="15.75" customHeight="1"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</row>
    <row r="752" ht="15.75" customHeight="1"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</row>
    <row r="753" ht="15.75" customHeight="1"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</row>
    <row r="754" ht="15.75" customHeight="1"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</row>
    <row r="755" ht="15.75" customHeight="1"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</row>
    <row r="756" ht="15.75" customHeight="1"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</row>
    <row r="757" ht="15.75" customHeight="1"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</row>
    <row r="758" ht="15.75" customHeight="1"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</row>
    <row r="759" ht="15.75" customHeight="1"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</row>
    <row r="760" ht="15.75" customHeight="1"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</row>
    <row r="761" ht="15.75" customHeight="1"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</row>
    <row r="762" ht="15.75" customHeight="1"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</row>
    <row r="763" ht="15.75" customHeight="1"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</row>
    <row r="764" ht="15.75" customHeight="1"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</row>
    <row r="765" ht="15.75" customHeight="1"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</row>
    <row r="766" ht="15.75" customHeight="1"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</row>
    <row r="767" ht="15.75" customHeight="1"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</row>
    <row r="768" ht="15.75" customHeight="1"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</row>
    <row r="769" ht="15.75" customHeight="1"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</row>
    <row r="770" ht="15.75" customHeight="1"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</row>
    <row r="771" ht="15.75" customHeight="1"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</row>
    <row r="772" ht="15.75" customHeight="1"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</row>
    <row r="773" ht="15.75" customHeight="1"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</row>
    <row r="774" ht="15.75" customHeight="1"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</row>
    <row r="775" ht="15.75" customHeight="1"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</row>
    <row r="776" ht="15.75" customHeight="1"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</row>
    <row r="777" ht="15.75" customHeight="1"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</row>
    <row r="778" ht="15.75" customHeight="1"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</row>
    <row r="779" ht="15.75" customHeight="1"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</row>
    <row r="780" ht="15.75" customHeight="1"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</row>
    <row r="781" ht="15.75" customHeight="1"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</row>
    <row r="782" ht="15.75" customHeight="1"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</row>
    <row r="783" ht="15.75" customHeight="1"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</row>
    <row r="784" ht="15.75" customHeight="1"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</row>
    <row r="785" ht="15.75" customHeight="1"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</row>
    <row r="786" ht="15.75" customHeight="1"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</row>
    <row r="787" ht="15.75" customHeight="1"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</row>
    <row r="788" ht="15.75" customHeight="1"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</row>
    <row r="789" ht="15.75" customHeight="1"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</row>
    <row r="790" ht="15.75" customHeight="1"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</row>
    <row r="791" ht="15.75" customHeight="1"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</row>
    <row r="792" ht="15.75" customHeight="1"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</row>
    <row r="793" ht="15.75" customHeight="1"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</row>
    <row r="794" ht="15.75" customHeight="1"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</row>
    <row r="795" ht="15.75" customHeight="1"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</row>
    <row r="796" ht="15.75" customHeight="1"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</row>
    <row r="797" ht="15.75" customHeight="1"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</row>
    <row r="798" ht="15.75" customHeight="1"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</row>
    <row r="799" ht="15.75" customHeight="1"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</row>
    <row r="800" ht="15.75" customHeight="1"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</row>
    <row r="801" ht="15.75" customHeight="1"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</row>
    <row r="802" ht="15.75" customHeight="1"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</row>
    <row r="803" ht="15.75" customHeight="1"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</row>
    <row r="804" ht="15.75" customHeight="1"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</row>
    <row r="805" ht="15.75" customHeight="1"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</row>
    <row r="806" ht="15.75" customHeight="1"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</row>
    <row r="807" ht="15.75" customHeight="1"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</row>
    <row r="808" ht="15.75" customHeight="1"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</row>
    <row r="809" ht="15.75" customHeight="1"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</row>
    <row r="810" ht="15.75" customHeight="1"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</row>
    <row r="811" ht="15.75" customHeight="1"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</row>
    <row r="812" ht="15.75" customHeight="1"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</row>
    <row r="813" ht="15.75" customHeight="1"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</row>
    <row r="814" ht="15.75" customHeight="1"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</row>
    <row r="815" ht="15.75" customHeight="1"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</row>
    <row r="816" ht="15.75" customHeight="1"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</row>
    <row r="817" ht="15.75" customHeight="1"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</row>
    <row r="818" ht="15.75" customHeight="1"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</row>
    <row r="819" ht="15.75" customHeight="1"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</row>
    <row r="820" ht="15.75" customHeight="1"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</row>
    <row r="821" ht="15.75" customHeight="1"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</row>
    <row r="822" ht="15.75" customHeight="1"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</row>
    <row r="823" ht="15.75" customHeight="1"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</row>
    <row r="824" ht="15.75" customHeight="1"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</row>
    <row r="825" ht="15.75" customHeight="1"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</row>
    <row r="826" ht="15.75" customHeight="1"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</row>
    <row r="827" ht="15.75" customHeight="1"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</row>
    <row r="828" ht="15.75" customHeight="1"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</row>
    <row r="829" ht="15.75" customHeight="1"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</row>
    <row r="830" ht="15.75" customHeight="1"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</row>
    <row r="831" ht="15.75" customHeight="1"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</row>
    <row r="832" ht="15.75" customHeight="1"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</row>
    <row r="833" ht="15.75" customHeight="1"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</row>
    <row r="834" ht="15.75" customHeight="1"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</row>
    <row r="835" ht="15.75" customHeight="1"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</row>
    <row r="836" ht="15.75" customHeight="1"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</row>
    <row r="837" ht="15.75" customHeight="1"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</row>
    <row r="838" ht="15.75" customHeight="1"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</row>
    <row r="839" ht="15.75" customHeight="1"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</row>
    <row r="840" ht="15.75" customHeight="1"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</row>
    <row r="841" ht="15.75" customHeight="1"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</row>
    <row r="842" ht="15.75" customHeight="1"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</row>
    <row r="843" ht="15.75" customHeight="1"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</row>
    <row r="844" ht="15.75" customHeight="1"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</row>
    <row r="845" ht="15.75" customHeight="1"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</row>
    <row r="846" ht="15.75" customHeight="1"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</row>
    <row r="847" ht="15.75" customHeight="1"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</row>
    <row r="848" ht="15.75" customHeight="1"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</row>
    <row r="849" ht="15.75" customHeight="1"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</row>
    <row r="850" ht="15.75" customHeight="1"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</row>
    <row r="851" ht="15.75" customHeight="1"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</row>
    <row r="852" ht="15.75" customHeight="1"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</row>
    <row r="853" ht="15.75" customHeight="1"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</row>
    <row r="854" ht="15.75" customHeight="1"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</row>
    <row r="855" ht="15.75" customHeight="1"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</row>
    <row r="856" ht="15.75" customHeight="1"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</row>
    <row r="857" ht="15.75" customHeight="1"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</row>
    <row r="858" ht="15.75" customHeight="1"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</row>
    <row r="859" ht="15.75" customHeight="1"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</row>
    <row r="860" ht="15.75" customHeight="1"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</row>
    <row r="861" ht="15.75" customHeight="1"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</row>
    <row r="862" ht="15.75" customHeight="1"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</row>
    <row r="863" ht="15.75" customHeight="1"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</row>
    <row r="864" ht="15.75" customHeight="1"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</row>
    <row r="865" ht="15.75" customHeight="1"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</row>
    <row r="866" ht="15.75" customHeight="1"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</row>
    <row r="867" ht="15.75" customHeight="1"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</row>
    <row r="868" ht="15.75" customHeight="1"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</row>
    <row r="869" ht="15.75" customHeight="1"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</row>
    <row r="870" ht="15.75" customHeight="1"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</row>
    <row r="871" ht="15.75" customHeight="1"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</row>
    <row r="872" ht="15.75" customHeight="1"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</row>
    <row r="873" ht="15.75" customHeight="1"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</row>
    <row r="874" ht="15.75" customHeight="1"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</row>
    <row r="875" ht="15.75" customHeight="1"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</row>
    <row r="876" ht="15.75" customHeight="1"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</row>
    <row r="877" ht="15.75" customHeight="1"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</row>
    <row r="878" ht="15.75" customHeight="1"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</row>
    <row r="879" ht="15.75" customHeight="1"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</row>
    <row r="880" ht="15.75" customHeight="1"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</row>
    <row r="881" ht="15.75" customHeight="1"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</row>
    <row r="882" ht="15.75" customHeight="1"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</row>
    <row r="883" ht="15.75" customHeight="1"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</row>
    <row r="884" ht="15.75" customHeight="1"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</row>
    <row r="885" ht="15.75" customHeight="1"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</row>
    <row r="886" ht="15.75" customHeight="1"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</row>
    <row r="887" ht="15.75" customHeight="1"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</row>
    <row r="888" ht="15.75" customHeight="1"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</row>
    <row r="889" ht="15.75" customHeight="1"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</row>
    <row r="890" ht="15.75" customHeight="1"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</row>
    <row r="891" ht="15.75" customHeight="1"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</row>
    <row r="892" ht="15.75" customHeight="1"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</row>
    <row r="893" ht="15.75" customHeight="1"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</row>
    <row r="894" ht="15.75" customHeight="1"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</row>
    <row r="895" ht="15.75" customHeight="1"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</row>
    <row r="896" ht="15.75" customHeight="1"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</row>
    <row r="897" ht="15.75" customHeight="1"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</row>
    <row r="898" ht="15.75" customHeight="1"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</row>
    <row r="899" ht="15.75" customHeight="1"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</row>
    <row r="900" ht="15.75" customHeight="1"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</row>
    <row r="901" ht="15.75" customHeight="1"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</row>
    <row r="902" ht="15.75" customHeight="1"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</row>
    <row r="903" ht="15.75" customHeight="1"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</row>
    <row r="904" ht="15.75" customHeight="1"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</row>
    <row r="905" ht="15.75" customHeight="1"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</row>
    <row r="906" ht="15.75" customHeight="1"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</row>
    <row r="907" ht="15.75" customHeight="1"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</row>
    <row r="908" ht="15.75" customHeight="1"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</row>
    <row r="909" ht="15.75" customHeight="1"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</row>
    <row r="910" ht="15.75" customHeight="1"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</row>
    <row r="911" ht="15.75" customHeight="1"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</row>
    <row r="912" ht="15.75" customHeight="1"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</row>
    <row r="913" ht="15.75" customHeight="1"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</row>
    <row r="914" ht="15.75" customHeight="1"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</row>
    <row r="915" ht="15.75" customHeight="1"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</row>
    <row r="916" ht="15.75" customHeight="1"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</row>
    <row r="917" ht="15.75" customHeight="1"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</row>
    <row r="918" ht="15.75" customHeight="1"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</row>
    <row r="919" ht="15.75" customHeight="1"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</row>
    <row r="920" ht="15.75" customHeight="1"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</row>
    <row r="921" ht="15.75" customHeight="1"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</row>
    <row r="922" ht="15.75" customHeight="1"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</row>
    <row r="923" ht="15.75" customHeight="1"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</row>
    <row r="924" ht="15.75" customHeight="1"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</row>
    <row r="925" ht="15.75" customHeight="1"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</row>
    <row r="926" ht="15.75" customHeight="1"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</row>
    <row r="927" ht="15.75" customHeight="1"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</row>
    <row r="928" ht="15.75" customHeight="1"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</row>
    <row r="929" ht="15.75" customHeight="1"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</row>
    <row r="930" ht="15.75" customHeight="1"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</row>
    <row r="931" ht="15.75" customHeight="1"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</row>
    <row r="932" ht="15.75" customHeight="1"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</row>
    <row r="933" ht="15.75" customHeight="1"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</row>
    <row r="934" ht="15.75" customHeight="1"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</row>
    <row r="935" ht="15.75" customHeight="1"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</row>
    <row r="936" ht="15.75" customHeight="1"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</row>
    <row r="937" ht="15.75" customHeight="1"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</row>
    <row r="938" ht="15.75" customHeight="1"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</row>
    <row r="939" ht="15.75" customHeight="1"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</row>
    <row r="940" ht="15.75" customHeight="1"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</row>
    <row r="941" ht="15.75" customHeight="1"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</row>
    <row r="942" ht="15.75" customHeight="1"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</row>
    <row r="943" ht="15.75" customHeight="1"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</row>
    <row r="944" ht="15.75" customHeight="1"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</row>
    <row r="945" ht="15.75" customHeight="1"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</row>
    <row r="946" ht="15.75" customHeight="1"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</row>
    <row r="947" ht="15.75" customHeight="1"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</row>
    <row r="948" ht="15.75" customHeight="1"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</row>
    <row r="949" ht="15.75" customHeight="1"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</row>
    <row r="950" ht="15.75" customHeight="1"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</row>
    <row r="951" ht="15.75" customHeight="1"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</row>
    <row r="952" ht="15.75" customHeight="1"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</row>
    <row r="953" ht="15.75" customHeight="1"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</row>
    <row r="954" ht="15.75" customHeight="1"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</row>
    <row r="955" ht="15.75" customHeight="1"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</row>
    <row r="956" ht="15.75" customHeight="1"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</row>
    <row r="957" ht="15.75" customHeight="1"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</row>
    <row r="958" ht="15.75" customHeight="1"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</row>
    <row r="959" ht="15.75" customHeight="1"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</row>
    <row r="960" ht="15.75" customHeight="1"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</row>
    <row r="961" ht="15.75" customHeight="1"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</row>
    <row r="962" ht="15.75" customHeight="1"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</row>
    <row r="963" ht="15.75" customHeight="1"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</row>
    <row r="964" ht="15.75" customHeight="1"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</row>
    <row r="965" ht="15.75" customHeight="1"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</row>
    <row r="966" ht="15.75" customHeight="1"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</row>
    <row r="967" ht="15.75" customHeight="1"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</row>
    <row r="968" ht="15.75" customHeight="1"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</row>
    <row r="969" ht="15.75" customHeight="1"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</row>
    <row r="970" ht="15.75" customHeight="1"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</row>
    <row r="971" ht="15.75" customHeight="1"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</row>
    <row r="972" ht="15.75" customHeight="1"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</row>
    <row r="973" ht="15.75" customHeight="1"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</row>
    <row r="974" ht="15.75" customHeight="1"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</row>
    <row r="975" ht="15.75" customHeight="1"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</row>
    <row r="976" ht="15.75" customHeight="1"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</row>
    <row r="977" ht="15.75" customHeight="1"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</row>
    <row r="978" ht="15.75" customHeight="1"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</row>
    <row r="979" ht="15.75" customHeight="1"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</row>
    <row r="980" ht="15.75" customHeight="1"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</row>
    <row r="981" ht="15.75" customHeight="1"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</row>
    <row r="982" ht="15.75" customHeight="1"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</row>
    <row r="983" ht="15.75" customHeight="1"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</row>
    <row r="984" ht="15.75" customHeight="1"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</row>
    <row r="985" ht="15.75" customHeight="1"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</row>
    <row r="986" ht="15.75" customHeight="1"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</row>
    <row r="987" ht="15.75" customHeight="1"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</row>
    <row r="988" ht="15.75" customHeight="1"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</row>
    <row r="989" ht="15.75" customHeight="1"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</row>
    <row r="990" ht="15.75" customHeight="1"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</row>
    <row r="991" ht="15.75" customHeight="1"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</row>
    <row r="992" ht="15.75" customHeight="1"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</row>
    <row r="993" ht="15.75" customHeight="1"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</row>
    <row r="994" ht="15.75" customHeight="1"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</row>
    <row r="995" ht="15.75" customHeight="1"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</row>
    <row r="996" ht="15.75" customHeight="1"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</row>
    <row r="997" ht="15.75" customHeight="1"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</row>
    <row r="998" ht="15.75" customHeight="1"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</row>
    <row r="999" ht="15.75" customHeight="1"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</row>
    <row r="1000" ht="15.75" customHeight="1"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</row>
  </sheetData>
  <conditionalFormatting sqref="G1:G1000">
    <cfRule type="cellIs" dxfId="4" priority="1" operator="greaterThan">
      <formula>"-5%"</formula>
    </cfRule>
  </conditionalFormatting>
  <conditionalFormatting sqref="G1:G1000">
    <cfRule type="cellIs" dxfId="5" priority="2" operator="lessThan">
      <formula>"-5%"</formula>
    </cfRule>
  </conditionalFormatting>
  <dataValidations>
    <dataValidation type="list" allowBlank="1" showErrorMessage="1" sqref="A2:A289">
      <formula1>"AsiaPac,EMEA,North America - Canada,North America - Central,North America - East,North America - Mexico,North America - West,South America"</formula1>
    </dataValidation>
    <dataValidation type="list" allowBlank="1" showErrorMessage="1" sqref="C2:C289">
      <formula1>"Cinnamon bun,Rye bread,Pastries"</formula1>
    </dataValidation>
  </dataValidations>
  <printOptions/>
  <pageMargins bottom="0.75" footer="0.0" header="0.0" left="0.7" right="0.7" top="0.75"/>
  <pageSetup scale="99" orientation="portrait"/>
  <drawing r:id="rId1"/>
  <tableParts count="1">
    <tablePart r:id="rId3"/>
  </tableParts>
</worksheet>
</file>